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2.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06473\.cisco\Desktop\PERSONNEL\Project 3 - Green Financial MODEL\"/>
    </mc:Choice>
  </mc:AlternateContent>
  <xr:revisionPtr revIDLastSave="0" documentId="13_ncr:1_{227B66D4-A166-42FA-BF50-BE2E213E0F70}" xr6:coauthVersionLast="47" xr6:coauthVersionMax="47" xr10:uidLastSave="{00000000-0000-0000-0000-000000000000}"/>
  <bookViews>
    <workbookView xWindow="-11280" yWindow="-16320" windowWidth="29040" windowHeight="15720" firstSheet="7" activeTab="10" xr2:uid="{291EEDE1-B113-4729-85C4-34616A36BF60}"/>
  </bookViews>
  <sheets>
    <sheet name="00_Executive Summary" sheetId="13" r:id="rId1"/>
    <sheet name="01_Assumptions" sheetId="1" r:id="rId2"/>
    <sheet name="02_Operations" sheetId="2" r:id="rId3"/>
    <sheet name="03_Revenues" sheetId="3" r:id="rId4"/>
    <sheet name="04_Costs" sheetId="4" r:id="rId5"/>
    <sheet name="05_Depreciation" sheetId="5" r:id="rId6"/>
    <sheet name="06_Financing" sheetId="6" r:id="rId7"/>
    <sheet name="07_Cash_Flow" sheetId="7" r:id="rId8"/>
    <sheet name="08_DCF_Analysis" sheetId="9" r:id="rId9"/>
    <sheet name="09_Investment_Returns" sheetId="10" r:id="rId10"/>
    <sheet name="10_Sensitivity Analysis"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42" i="11" l="1"/>
  <c r="C12" i="7" l="1"/>
  <c r="C5" i="7"/>
  <c r="C6" i="2"/>
  <c r="G22" i="13"/>
  <c r="D38" i="13"/>
  <c r="B38" i="13"/>
  <c r="G21" i="13"/>
  <c r="G20" i="13"/>
  <c r="G19" i="13"/>
  <c r="G17" i="13"/>
  <c r="G16" i="13"/>
  <c r="G15" i="13"/>
  <c r="G14" i="13"/>
  <c r="G13" i="13"/>
  <c r="G12" i="13"/>
  <c r="F22" i="13"/>
  <c r="F20" i="13"/>
  <c r="F19" i="13"/>
  <c r="F17" i="13"/>
  <c r="F16" i="13"/>
  <c r="F15" i="13"/>
  <c r="F14" i="13"/>
  <c r="F13" i="13"/>
  <c r="F12" i="13"/>
  <c r="G11" i="13"/>
  <c r="G10" i="13"/>
  <c r="F11" i="13"/>
  <c r="F10" i="13"/>
  <c r="D32" i="11" l="1"/>
  <c r="D41" i="11" s="1"/>
  <c r="D33" i="11"/>
  <c r="D42" i="11" s="1"/>
  <c r="D34" i="11"/>
  <c r="D43" i="11" s="1"/>
  <c r="D35" i="11"/>
  <c r="D44" i="11" s="1"/>
  <c r="D31" i="11"/>
  <c r="D40" i="11" s="1"/>
  <c r="E32" i="11"/>
  <c r="B56" i="11" s="1"/>
  <c r="E33" i="11"/>
  <c r="B57" i="11" s="1"/>
  <c r="E34" i="11"/>
  <c r="B58" i="11" s="1"/>
  <c r="E35" i="11"/>
  <c r="B59" i="11" s="1"/>
  <c r="E31" i="11"/>
  <c r="B55" i="11" s="1"/>
  <c r="E23" i="11"/>
  <c r="C56" i="11" s="1"/>
  <c r="E24" i="11"/>
  <c r="C57" i="11" s="1"/>
  <c r="E25" i="11"/>
  <c r="C58" i="11" s="1"/>
  <c r="E26" i="11"/>
  <c r="C59" i="11" s="1"/>
  <c r="E22" i="11"/>
  <c r="C55" i="11" s="1"/>
  <c r="D23" i="11"/>
  <c r="C41" i="11" s="1"/>
  <c r="D24" i="11"/>
  <c r="C42" i="11" s="1"/>
  <c r="D25" i="11"/>
  <c r="C43" i="11" s="1"/>
  <c r="D26" i="11"/>
  <c r="C44" i="11" s="1"/>
  <c r="D22" i="11"/>
  <c r="C40" i="11" s="1"/>
  <c r="H8" i="11"/>
  <c r="H7" i="11"/>
  <c r="G7" i="11"/>
  <c r="F7" i="11"/>
  <c r="E7" i="11"/>
  <c r="I7" i="11"/>
  <c r="I8" i="11"/>
  <c r="G8" i="11"/>
  <c r="F8" i="11"/>
  <c r="E8" i="11"/>
  <c r="E14" i="11"/>
  <c r="E15" i="11"/>
  <c r="E16" i="11"/>
  <c r="E17" i="11"/>
  <c r="E13" i="11"/>
  <c r="D14" i="11"/>
  <c r="B41" i="11" s="1"/>
  <c r="D15" i="11"/>
  <c r="B42" i="11" s="1"/>
  <c r="D16" i="11"/>
  <c r="B43" i="11" s="1"/>
  <c r="D17" i="11"/>
  <c r="B44" i="11" s="1"/>
  <c r="D13" i="11"/>
  <c r="B40" i="11" s="1"/>
  <c r="C67" i="1"/>
  <c r="C17" i="11" s="1"/>
  <c r="C66" i="1"/>
  <c r="C16" i="11" s="1"/>
  <c r="C65" i="1"/>
  <c r="C15" i="11" s="1"/>
  <c r="C64" i="1"/>
  <c r="C14" i="11" s="1"/>
  <c r="C63" i="1"/>
  <c r="C13" i="11" s="1"/>
  <c r="B6" i="11"/>
  <c r="I6" i="11" s="1"/>
  <c r="B56" i="1"/>
  <c r="C5" i="3"/>
  <c r="C5" i="5"/>
  <c r="D7" i="5" s="1"/>
  <c r="E9" i="2"/>
  <c r="F9" i="2"/>
  <c r="G9" i="2"/>
  <c r="H9" i="2"/>
  <c r="I9" i="2"/>
  <c r="J9" i="2"/>
  <c r="K9" i="2"/>
  <c r="L9" i="2"/>
  <c r="M9" i="2"/>
  <c r="N9" i="2"/>
  <c r="O9" i="2"/>
  <c r="P9" i="2"/>
  <c r="Q9" i="2"/>
  <c r="R9" i="2"/>
  <c r="S9" i="2"/>
  <c r="T9" i="2"/>
  <c r="U9" i="2"/>
  <c r="V9" i="2"/>
  <c r="W9" i="2"/>
  <c r="X9" i="2"/>
  <c r="Y9" i="2"/>
  <c r="Z9" i="2"/>
  <c r="AA9" i="2"/>
  <c r="AB9" i="2"/>
  <c r="D9" i="2"/>
  <c r="E8" i="2"/>
  <c r="F8" i="2"/>
  <c r="G8" i="2"/>
  <c r="H8" i="2"/>
  <c r="I8" i="2"/>
  <c r="J8" i="2"/>
  <c r="K8" i="2"/>
  <c r="L8" i="2"/>
  <c r="M8" i="2"/>
  <c r="N8" i="2"/>
  <c r="O8" i="2"/>
  <c r="P8" i="2"/>
  <c r="Q8" i="2"/>
  <c r="R8" i="2"/>
  <c r="S8" i="2"/>
  <c r="T8" i="2"/>
  <c r="U8" i="2"/>
  <c r="V8" i="2"/>
  <c r="W8" i="2"/>
  <c r="X8" i="2"/>
  <c r="Y8" i="2"/>
  <c r="Z8" i="2"/>
  <c r="AA8" i="2"/>
  <c r="AB8" i="2"/>
  <c r="D8" i="2"/>
  <c r="E6" i="2"/>
  <c r="F6" i="2"/>
  <c r="G6" i="2"/>
  <c r="H6" i="2"/>
  <c r="I6" i="2"/>
  <c r="J6" i="2"/>
  <c r="K6" i="2"/>
  <c r="L6" i="2"/>
  <c r="M6" i="2"/>
  <c r="N6" i="2"/>
  <c r="O6" i="2"/>
  <c r="P6" i="2"/>
  <c r="Q6" i="2"/>
  <c r="R6" i="2"/>
  <c r="S6" i="2"/>
  <c r="T6" i="2"/>
  <c r="U6" i="2"/>
  <c r="V6" i="2"/>
  <c r="W6" i="2"/>
  <c r="X6" i="2"/>
  <c r="Y6" i="2"/>
  <c r="Z6" i="2"/>
  <c r="AA6" i="2"/>
  <c r="AB6" i="2"/>
  <c r="D6" i="2"/>
  <c r="D4" i="2"/>
  <c r="E4" i="2"/>
  <c r="F4" i="2"/>
  <c r="G4" i="2"/>
  <c r="H4" i="2"/>
  <c r="I4" i="2"/>
  <c r="J4" i="2"/>
  <c r="K4" i="2"/>
  <c r="L4" i="2"/>
  <c r="M4" i="2"/>
  <c r="N4" i="2"/>
  <c r="O4" i="2"/>
  <c r="P4" i="2"/>
  <c r="Q4" i="2"/>
  <c r="R4" i="2"/>
  <c r="S4" i="2"/>
  <c r="T4" i="2"/>
  <c r="U4" i="2"/>
  <c r="V4" i="2"/>
  <c r="W4" i="2"/>
  <c r="X4" i="2"/>
  <c r="Y4" i="2"/>
  <c r="Z4" i="2"/>
  <c r="AA4" i="2"/>
  <c r="AB4" i="2"/>
  <c r="C4" i="2"/>
  <c r="H41" i="11" l="1"/>
  <c r="G42" i="11"/>
  <c r="H40" i="11"/>
  <c r="G41" i="11"/>
  <c r="G40" i="11"/>
  <c r="D59" i="11"/>
  <c r="D56" i="11"/>
  <c r="D55" i="11"/>
  <c r="D58" i="11"/>
  <c r="D57" i="11"/>
  <c r="F6" i="11"/>
  <c r="H6" i="11"/>
  <c r="G6" i="11"/>
  <c r="E6" i="11"/>
  <c r="D5" i="4"/>
  <c r="D5" i="7" s="1"/>
  <c r="D5" i="3"/>
  <c r="D7" i="2"/>
  <c r="C7" i="2"/>
  <c r="C10" i="2" s="1"/>
  <c r="C4" i="3" s="1"/>
  <c r="C6" i="3" s="1"/>
  <c r="C4" i="7" s="1"/>
  <c r="B28" i="1"/>
  <c r="F30" i="13" s="1"/>
  <c r="C4" i="10"/>
  <c r="C7" i="9"/>
  <c r="C8" i="6"/>
  <c r="C7" i="6"/>
  <c r="C4" i="6"/>
  <c r="C6" i="6" s="1"/>
  <c r="C8" i="5"/>
  <c r="C9" i="5" s="1"/>
  <c r="E7" i="5"/>
  <c r="F7" i="5"/>
  <c r="G7" i="5"/>
  <c r="H7" i="5"/>
  <c r="I7" i="5"/>
  <c r="J7" i="5"/>
  <c r="K7" i="5"/>
  <c r="L7" i="5"/>
  <c r="M7" i="5"/>
  <c r="N7" i="5"/>
  <c r="O7" i="5"/>
  <c r="P7" i="5"/>
  <c r="Q7" i="5"/>
  <c r="R7" i="5"/>
  <c r="S7" i="5"/>
  <c r="T7" i="5"/>
  <c r="U7" i="5"/>
  <c r="V7" i="5"/>
  <c r="W7" i="5"/>
  <c r="X7" i="5"/>
  <c r="Y7" i="5"/>
  <c r="Z7" i="5"/>
  <c r="AA7" i="5"/>
  <c r="AB7" i="5"/>
  <c r="C4" i="5"/>
  <c r="D8" i="5" s="1"/>
  <c r="B29" i="1" l="1"/>
  <c r="D10" i="2"/>
  <c r="D4" i="3" s="1"/>
  <c r="D6" i="3" s="1"/>
  <c r="C5" i="10"/>
  <c r="F21" i="13"/>
  <c r="L8" i="5"/>
  <c r="E8" i="5"/>
  <c r="C10" i="5"/>
  <c r="C4" i="4"/>
  <c r="C6" i="4" s="1"/>
  <c r="E5" i="3"/>
  <c r="F5" i="3" s="1"/>
  <c r="E7" i="2"/>
  <c r="L6" i="9"/>
  <c r="T6" i="9"/>
  <c r="AB6" i="9"/>
  <c r="E6" i="9"/>
  <c r="M6" i="9"/>
  <c r="U6" i="9"/>
  <c r="D6" i="9"/>
  <c r="D7" i="9" s="1"/>
  <c r="W6" i="9"/>
  <c r="F6" i="9"/>
  <c r="N6" i="9"/>
  <c r="V6" i="9"/>
  <c r="O6" i="9"/>
  <c r="G6" i="9"/>
  <c r="H6" i="9"/>
  <c r="P6" i="9"/>
  <c r="X6" i="9"/>
  <c r="I6" i="9"/>
  <c r="Q6" i="9"/>
  <c r="Y6" i="9"/>
  <c r="J6" i="9"/>
  <c r="R6" i="9"/>
  <c r="Z6" i="9"/>
  <c r="S6" i="9"/>
  <c r="AA6" i="9"/>
  <c r="K6" i="9"/>
  <c r="AA8" i="5"/>
  <c r="S8" i="5"/>
  <c r="K8" i="5"/>
  <c r="Z8" i="5"/>
  <c r="R8" i="5"/>
  <c r="J8" i="5"/>
  <c r="C11" i="6"/>
  <c r="G10" i="6" s="1"/>
  <c r="C7" i="7"/>
  <c r="C11" i="7" s="1"/>
  <c r="Q8" i="5"/>
  <c r="Y8" i="5"/>
  <c r="X8" i="5"/>
  <c r="H8" i="5"/>
  <c r="V8" i="5"/>
  <c r="N8" i="5"/>
  <c r="E5" i="4"/>
  <c r="W8" i="5"/>
  <c r="O8" i="5"/>
  <c r="G8" i="5"/>
  <c r="U8" i="5"/>
  <c r="M8" i="5"/>
  <c r="AB8" i="5"/>
  <c r="P8" i="5"/>
  <c r="I8" i="5"/>
  <c r="F8" i="5"/>
  <c r="T8" i="5"/>
  <c r="E7" i="9" l="1"/>
  <c r="E5" i="7"/>
  <c r="F5" i="4"/>
  <c r="F5" i="7" s="1"/>
  <c r="D4" i="7"/>
  <c r="D10" i="6"/>
  <c r="C6" i="7"/>
  <c r="C8" i="7" s="1"/>
  <c r="E10" i="2"/>
  <c r="E4" i="3" s="1"/>
  <c r="E6" i="3" s="1"/>
  <c r="E4" i="4" s="1"/>
  <c r="E6" i="4" s="1"/>
  <c r="L7" i="7"/>
  <c r="L11" i="7"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D4" i="4"/>
  <c r="D5" i="6"/>
  <c r="F7" i="2"/>
  <c r="F10" i="2" s="1"/>
  <c r="F4" i="3" s="1"/>
  <c r="F6" i="3" s="1"/>
  <c r="I10" i="6"/>
  <c r="E10" i="6"/>
  <c r="F7" i="9"/>
  <c r="G7" i="9" s="1"/>
  <c r="R10" i="6"/>
  <c r="F10" i="6"/>
  <c r="H10" i="6"/>
  <c r="P10" i="6"/>
  <c r="Q10" i="6"/>
  <c r="K10" i="6"/>
  <c r="O10" i="6"/>
  <c r="J10" i="6"/>
  <c r="U7" i="7"/>
  <c r="U11" i="7" s="1"/>
  <c r="E7" i="7"/>
  <c r="E11" i="7" s="1"/>
  <c r="L10" i="6"/>
  <c r="M10" i="6"/>
  <c r="N10" i="6"/>
  <c r="N7" i="7"/>
  <c r="N11" i="7" s="1"/>
  <c r="T7" i="7"/>
  <c r="T11" i="7" s="1"/>
  <c r="D9" i="5"/>
  <c r="E9" i="5" s="1"/>
  <c r="F9" i="5" s="1"/>
  <c r="G9" i="5" s="1"/>
  <c r="H9" i="5" s="1"/>
  <c r="I9" i="5" s="1"/>
  <c r="J9" i="5" s="1"/>
  <c r="K9" i="5" s="1"/>
  <c r="L9" i="5" s="1"/>
  <c r="M9" i="5" s="1"/>
  <c r="N9" i="5" s="1"/>
  <c r="O9" i="5" s="1"/>
  <c r="P9" i="5" s="1"/>
  <c r="Q9" i="5" s="1"/>
  <c r="R9" i="5" s="1"/>
  <c r="S9" i="5" s="1"/>
  <c r="T9" i="5" s="1"/>
  <c r="U9" i="5" s="1"/>
  <c r="V9" i="5" s="1"/>
  <c r="W9" i="5" s="1"/>
  <c r="X9" i="5" s="1"/>
  <c r="Y9" i="5" s="1"/>
  <c r="Z9" i="5" s="1"/>
  <c r="AA9" i="5" s="1"/>
  <c r="AB9" i="5" s="1"/>
  <c r="D7" i="7"/>
  <c r="V7" i="7"/>
  <c r="V11" i="7" s="1"/>
  <c r="R7" i="7"/>
  <c r="R11" i="7" s="1"/>
  <c r="F7" i="7"/>
  <c r="F11" i="7" s="1"/>
  <c r="O7" i="7"/>
  <c r="O11" i="7" s="1"/>
  <c r="H7" i="7"/>
  <c r="H11" i="7" s="1"/>
  <c r="Z7" i="7"/>
  <c r="Z11" i="7" s="1"/>
  <c r="AB7" i="7"/>
  <c r="AB11" i="7" s="1"/>
  <c r="AA7" i="7"/>
  <c r="AA11" i="7" s="1"/>
  <c r="J7" i="7"/>
  <c r="J11" i="7" s="1"/>
  <c r="I7" i="7"/>
  <c r="I11" i="7" s="1"/>
  <c r="W7" i="7"/>
  <c r="W11" i="7" s="1"/>
  <c r="X7" i="7"/>
  <c r="X11" i="7" s="1"/>
  <c r="K7" i="7"/>
  <c r="K11" i="7" s="1"/>
  <c r="Q7" i="7"/>
  <c r="Q11" i="7" s="1"/>
  <c r="M7" i="7"/>
  <c r="M11" i="7" s="1"/>
  <c r="G7" i="7"/>
  <c r="G11" i="7" s="1"/>
  <c r="P7" i="7"/>
  <c r="P11" i="7" s="1"/>
  <c r="Y7" i="7"/>
  <c r="Y11" i="7" s="1"/>
  <c r="S7" i="7"/>
  <c r="S11" i="7" s="1"/>
  <c r="G5" i="3"/>
  <c r="H5" i="3" s="1"/>
  <c r="I5" i="3" s="1"/>
  <c r="C9" i="7" l="1"/>
  <c r="C10" i="7" s="1"/>
  <c r="C13" i="7" s="1"/>
  <c r="C4" i="9" s="1"/>
  <c r="D6" i="7"/>
  <c r="D8" i="7" s="1"/>
  <c r="D11" i="7"/>
  <c r="D6" i="4"/>
  <c r="E4" i="7"/>
  <c r="E6" i="7" s="1"/>
  <c r="D11" i="6"/>
  <c r="D9" i="6"/>
  <c r="G7" i="2"/>
  <c r="G10" i="2" s="1"/>
  <c r="G4" i="3" s="1"/>
  <c r="G6" i="3" s="1"/>
  <c r="F4" i="4"/>
  <c r="F6" i="4" s="1"/>
  <c r="F4" i="7"/>
  <c r="G5" i="4"/>
  <c r="G5" i="7" s="1"/>
  <c r="H7" i="9"/>
  <c r="J5" i="3"/>
  <c r="C5" i="9" l="1"/>
  <c r="C8" i="9"/>
  <c r="C9" i="9" s="1"/>
  <c r="E8" i="7"/>
  <c r="E9" i="7" s="1"/>
  <c r="E10" i="7" s="1"/>
  <c r="E13" i="7" s="1"/>
  <c r="E4" i="9" s="1"/>
  <c r="E8" i="9" s="1"/>
  <c r="D9" i="7"/>
  <c r="D10" i="7" s="1"/>
  <c r="D13" i="7" s="1"/>
  <c r="D4" i="9" s="1"/>
  <c r="E5" i="6"/>
  <c r="E9" i="6" s="1"/>
  <c r="F6" i="7"/>
  <c r="H7" i="2"/>
  <c r="I7" i="2" s="1"/>
  <c r="I10" i="2" s="1"/>
  <c r="I4" i="3" s="1"/>
  <c r="I6" i="3" s="1"/>
  <c r="G4" i="4"/>
  <c r="G6" i="4" s="1"/>
  <c r="G4" i="7"/>
  <c r="H5" i="4"/>
  <c r="H5" i="7" s="1"/>
  <c r="D12" i="6"/>
  <c r="I7" i="9"/>
  <c r="K5" i="3"/>
  <c r="D5" i="9" l="1"/>
  <c r="E5" i="9" s="1"/>
  <c r="D8" i="9"/>
  <c r="F8" i="7"/>
  <c r="F9" i="7" s="1"/>
  <c r="F10" i="7" s="1"/>
  <c r="F13" i="7" s="1"/>
  <c r="F4" i="9" s="1"/>
  <c r="E11" i="6"/>
  <c r="F5" i="6" s="1"/>
  <c r="F9" i="6" s="1"/>
  <c r="G6" i="7"/>
  <c r="J7" i="2"/>
  <c r="K7" i="2" s="1"/>
  <c r="H10" i="2"/>
  <c r="H4" i="3" s="1"/>
  <c r="H6" i="3" s="1"/>
  <c r="H4" i="4" s="1"/>
  <c r="H6" i="4" s="1"/>
  <c r="I5" i="4"/>
  <c r="I5" i="7" s="1"/>
  <c r="I4" i="4"/>
  <c r="I4" i="7"/>
  <c r="E12" i="6"/>
  <c r="J7" i="9"/>
  <c r="L5" i="3"/>
  <c r="D9" i="9" l="1"/>
  <c r="E9" i="9" s="1"/>
  <c r="G8" i="7"/>
  <c r="G9" i="7" s="1"/>
  <c r="G10" i="7" s="1"/>
  <c r="G13" i="7" s="1"/>
  <c r="G4" i="9" s="1"/>
  <c r="G8" i="9" s="1"/>
  <c r="F11" i="6"/>
  <c r="G5" i="6" s="1"/>
  <c r="G9" i="6" s="1"/>
  <c r="J10" i="2"/>
  <c r="J4" i="3" s="1"/>
  <c r="J6" i="3" s="1"/>
  <c r="J4" i="4" s="1"/>
  <c r="F8" i="9"/>
  <c r="H4" i="7"/>
  <c r="H6" i="7" s="1"/>
  <c r="F5" i="9"/>
  <c r="I6" i="4"/>
  <c r="F12" i="6"/>
  <c r="J5" i="4"/>
  <c r="J5" i="7" s="1"/>
  <c r="I6" i="7"/>
  <c r="K7" i="9"/>
  <c r="M5" i="3"/>
  <c r="L7" i="2"/>
  <c r="K10" i="2"/>
  <c r="K4" i="3" s="1"/>
  <c r="K6" i="3" s="1"/>
  <c r="F9" i="9" l="1"/>
  <c r="G9" i="9" s="1"/>
  <c r="G5" i="9"/>
  <c r="I8" i="7"/>
  <c r="I9" i="7" s="1"/>
  <c r="I10" i="7" s="1"/>
  <c r="I13" i="7" s="1"/>
  <c r="I4" i="9" s="1"/>
  <c r="I8" i="9" s="1"/>
  <c r="G11" i="6"/>
  <c r="H5" i="6" s="1"/>
  <c r="H11" i="6" s="1"/>
  <c r="I5" i="6" s="1"/>
  <c r="H8" i="7"/>
  <c r="H9" i="7" s="1"/>
  <c r="H10" i="7" s="1"/>
  <c r="H13" i="7" s="1"/>
  <c r="H4" i="9" s="1"/>
  <c r="H8" i="9" s="1"/>
  <c r="J4" i="7"/>
  <c r="K4" i="4"/>
  <c r="K4" i="7"/>
  <c r="G12" i="6"/>
  <c r="K5" i="4"/>
  <c r="K5" i="7" s="1"/>
  <c r="J6" i="4"/>
  <c r="L7" i="9"/>
  <c r="N5" i="3"/>
  <c r="M7" i="2"/>
  <c r="L10" i="2"/>
  <c r="L4" i="3" s="1"/>
  <c r="L6" i="3" s="1"/>
  <c r="H9" i="9" l="1"/>
  <c r="I9" i="9" s="1"/>
  <c r="H9" i="6"/>
  <c r="H12" i="6" s="1"/>
  <c r="J6" i="7"/>
  <c r="J8" i="7" s="1"/>
  <c r="J9" i="7" s="1"/>
  <c r="J10" i="7" s="1"/>
  <c r="J13" i="7" s="1"/>
  <c r="J4" i="9" s="1"/>
  <c r="J8" i="9" s="1"/>
  <c r="H5" i="9"/>
  <c r="I5" i="9" s="1"/>
  <c r="L4" i="4"/>
  <c r="L4" i="7"/>
  <c r="I11" i="6"/>
  <c r="J5" i="6" s="1"/>
  <c r="I9" i="6"/>
  <c r="L5" i="4"/>
  <c r="L5" i="7" s="1"/>
  <c r="K6" i="7"/>
  <c r="K6" i="4"/>
  <c r="M7" i="9"/>
  <c r="O5" i="3"/>
  <c r="N7" i="2"/>
  <c r="M10" i="2"/>
  <c r="M4" i="3" s="1"/>
  <c r="M6" i="3" s="1"/>
  <c r="J9" i="9" l="1"/>
  <c r="K8" i="7"/>
  <c r="K9" i="7" s="1"/>
  <c r="K10" i="7" s="1"/>
  <c r="K13" i="7" s="1"/>
  <c r="K4" i="9" s="1"/>
  <c r="K8" i="9" s="1"/>
  <c r="J5" i="9"/>
  <c r="L6" i="4"/>
  <c r="I12" i="6"/>
  <c r="J11" i="6"/>
  <c r="K5" i="6" s="1"/>
  <c r="J9" i="6"/>
  <c r="M4" i="4"/>
  <c r="M4" i="7"/>
  <c r="M5" i="4"/>
  <c r="M5" i="7" s="1"/>
  <c r="L6" i="7"/>
  <c r="N7" i="9"/>
  <c r="P5" i="3"/>
  <c r="O7" i="2"/>
  <c r="N10" i="2"/>
  <c r="N4" i="3" s="1"/>
  <c r="N6" i="3" s="1"/>
  <c r="K9" i="9" l="1"/>
  <c r="K5" i="9"/>
  <c r="L8" i="7"/>
  <c r="L9" i="7" s="1"/>
  <c r="L10" i="7" s="1"/>
  <c r="L13" i="7" s="1"/>
  <c r="L4" i="9" s="1"/>
  <c r="J12" i="6"/>
  <c r="N5" i="4"/>
  <c r="N5" i="7" s="1"/>
  <c r="M6" i="7"/>
  <c r="N4" i="4"/>
  <c r="N4" i="7"/>
  <c r="K11" i="6"/>
  <c r="L5" i="6" s="1"/>
  <c r="K9" i="6"/>
  <c r="M6" i="4"/>
  <c r="O7" i="9"/>
  <c r="Q5" i="3"/>
  <c r="P7" i="2"/>
  <c r="O10" i="2"/>
  <c r="O4" i="3" s="1"/>
  <c r="O6" i="3" s="1"/>
  <c r="L8" i="9" l="1"/>
  <c r="L9" i="9" s="1"/>
  <c r="L5" i="9"/>
  <c r="M8" i="7"/>
  <c r="M9" i="7" s="1"/>
  <c r="M10" i="7" s="1"/>
  <c r="M13" i="7" s="1"/>
  <c r="M4" i="9" s="1"/>
  <c r="N6" i="4"/>
  <c r="O4" i="4"/>
  <c r="O4" i="7"/>
  <c r="O5" i="4"/>
  <c r="O5" i="7" s="1"/>
  <c r="N6" i="7"/>
  <c r="K12" i="6"/>
  <c r="L11" i="6"/>
  <c r="M5" i="6" s="1"/>
  <c r="L9" i="6"/>
  <c r="P7" i="9"/>
  <c r="R5" i="3"/>
  <c r="Q7" i="2"/>
  <c r="P10" i="2"/>
  <c r="P4" i="3" s="1"/>
  <c r="P6" i="3" s="1"/>
  <c r="M8" i="9" l="1"/>
  <c r="M9" i="9" s="1"/>
  <c r="M5" i="9"/>
  <c r="N8" i="7"/>
  <c r="N9" i="7" s="1"/>
  <c r="N10" i="7" s="1"/>
  <c r="N13" i="7" s="1"/>
  <c r="N4" i="9" s="1"/>
  <c r="P5" i="4"/>
  <c r="P5" i="7" s="1"/>
  <c r="O6" i="7"/>
  <c r="P4" i="4"/>
  <c r="P4" i="7"/>
  <c r="M9" i="6"/>
  <c r="M11" i="6"/>
  <c r="N5" i="6" s="1"/>
  <c r="O6" i="4"/>
  <c r="L12" i="6"/>
  <c r="Q7" i="9"/>
  <c r="S5" i="3"/>
  <c r="R7" i="2"/>
  <c r="Q10" i="2"/>
  <c r="Q4" i="3" s="1"/>
  <c r="Q6" i="3" s="1"/>
  <c r="N8" i="9" l="1"/>
  <c r="N9" i="9" s="1"/>
  <c r="N5" i="9"/>
  <c r="O8" i="7"/>
  <c r="O9" i="7" s="1"/>
  <c r="O10" i="7" s="1"/>
  <c r="O13" i="7" s="1"/>
  <c r="O4" i="9" s="1"/>
  <c r="O8" i="9" s="1"/>
  <c r="P6" i="4"/>
  <c r="M12" i="6"/>
  <c r="Q4" i="4"/>
  <c r="Q4" i="7"/>
  <c r="Q5" i="4"/>
  <c r="Q5" i="7" s="1"/>
  <c r="P6" i="7"/>
  <c r="N9" i="6"/>
  <c r="N11" i="6"/>
  <c r="O5" i="6" s="1"/>
  <c r="R7" i="9"/>
  <c r="T5" i="3"/>
  <c r="S7" i="2"/>
  <c r="R10" i="2"/>
  <c r="R4" i="3" s="1"/>
  <c r="R6" i="3" s="1"/>
  <c r="O9" i="9" l="1"/>
  <c r="O5" i="9"/>
  <c r="P8" i="7"/>
  <c r="P9" i="7" s="1"/>
  <c r="P10" i="7" s="1"/>
  <c r="P13" i="7" s="1"/>
  <c r="P4" i="9" s="1"/>
  <c r="P8" i="9" s="1"/>
  <c r="Q6" i="4"/>
  <c r="R4" i="4"/>
  <c r="R4" i="7"/>
  <c r="O11" i="6"/>
  <c r="P5" i="6" s="1"/>
  <c r="O9" i="6"/>
  <c r="N12" i="6"/>
  <c r="R5" i="4"/>
  <c r="R5" i="7" s="1"/>
  <c r="Q6" i="7"/>
  <c r="S7" i="9"/>
  <c r="U5" i="3"/>
  <c r="T7" i="2"/>
  <c r="S10" i="2"/>
  <c r="S4" i="3" s="1"/>
  <c r="S6" i="3" s="1"/>
  <c r="P9" i="9" l="1"/>
  <c r="Q8" i="7"/>
  <c r="Q9" i="7" s="1"/>
  <c r="Q10" i="7" s="1"/>
  <c r="Q13" i="7" s="1"/>
  <c r="Q4" i="9" s="1"/>
  <c r="Q8" i="9" s="1"/>
  <c r="P5" i="9"/>
  <c r="S4" i="4"/>
  <c r="S4" i="7"/>
  <c r="O12" i="6"/>
  <c r="P11" i="6"/>
  <c r="Q5" i="6" s="1"/>
  <c r="P9" i="6"/>
  <c r="R6" i="4"/>
  <c r="S5" i="4"/>
  <c r="S5" i="7" s="1"/>
  <c r="R6" i="7"/>
  <c r="T7" i="9"/>
  <c r="V5" i="3"/>
  <c r="U7" i="2"/>
  <c r="T10" i="2"/>
  <c r="T4" i="3" s="1"/>
  <c r="T6" i="3" s="1"/>
  <c r="Q9" i="9" l="1"/>
  <c r="Q5" i="9"/>
  <c r="R8" i="7"/>
  <c r="R9" i="7" s="1"/>
  <c r="R10" i="7" s="1"/>
  <c r="R13" i="7" s="1"/>
  <c r="R4" i="9" s="1"/>
  <c r="R8" i="9" s="1"/>
  <c r="S6" i="4"/>
  <c r="Q11" i="6"/>
  <c r="R5" i="6" s="1"/>
  <c r="Q9" i="6"/>
  <c r="T4" i="4"/>
  <c r="T4" i="7"/>
  <c r="T5" i="4"/>
  <c r="T5" i="7" s="1"/>
  <c r="S6" i="7"/>
  <c r="P12" i="6"/>
  <c r="U7" i="9"/>
  <c r="W5" i="3"/>
  <c r="V7" i="2"/>
  <c r="U10" i="2"/>
  <c r="U4" i="3" s="1"/>
  <c r="U6" i="3" s="1"/>
  <c r="R9" i="9" l="1"/>
  <c r="S8" i="7"/>
  <c r="S9" i="7" s="1"/>
  <c r="S10" i="7" s="1"/>
  <c r="S13" i="7" s="1"/>
  <c r="S4" i="9" s="1"/>
  <c r="S8" i="9" s="1"/>
  <c r="R5" i="9"/>
  <c r="T6" i="4"/>
  <c r="U5" i="4"/>
  <c r="U5" i="7" s="1"/>
  <c r="T6" i="7"/>
  <c r="Q12" i="6"/>
  <c r="R11" i="6"/>
  <c r="R9" i="6"/>
  <c r="U4" i="4"/>
  <c r="U4" i="7"/>
  <c r="V7" i="9"/>
  <c r="X5" i="3"/>
  <c r="W7" i="2"/>
  <c r="V10" i="2"/>
  <c r="V4" i="3" s="1"/>
  <c r="V6" i="3" s="1"/>
  <c r="S9" i="9" l="1"/>
  <c r="S5" i="9"/>
  <c r="T8" i="7"/>
  <c r="T9" i="7" s="1"/>
  <c r="T10" i="7" s="1"/>
  <c r="T13" i="7" s="1"/>
  <c r="T4" i="9" s="1"/>
  <c r="V5" i="4"/>
  <c r="V5" i="7" s="1"/>
  <c r="U6" i="7"/>
  <c r="U6" i="4"/>
  <c r="V4" i="4"/>
  <c r="V4" i="7"/>
  <c r="R12" i="6"/>
  <c r="W7" i="9"/>
  <c r="Y5" i="3"/>
  <c r="X7" i="2"/>
  <c r="W10" i="2"/>
  <c r="W4" i="3" s="1"/>
  <c r="W6" i="3" s="1"/>
  <c r="T8" i="9" l="1"/>
  <c r="T9" i="9" s="1"/>
  <c r="T5" i="9"/>
  <c r="U8" i="7"/>
  <c r="U9" i="7" s="1"/>
  <c r="U10" i="7" s="1"/>
  <c r="U13" i="7" s="1"/>
  <c r="U4" i="9" s="1"/>
  <c r="V6" i="4"/>
  <c r="W5" i="4"/>
  <c r="W5" i="7" s="1"/>
  <c r="V6" i="7"/>
  <c r="W4" i="4"/>
  <c r="W4" i="7"/>
  <c r="X7" i="9"/>
  <c r="Z5" i="3"/>
  <c r="Y7" i="2"/>
  <c r="X10" i="2"/>
  <c r="X4" i="3" s="1"/>
  <c r="X6" i="3" s="1"/>
  <c r="V8" i="7" l="1"/>
  <c r="V9" i="7" s="1"/>
  <c r="V10" i="7" s="1"/>
  <c r="V13" i="7" s="1"/>
  <c r="V4" i="9" s="1"/>
  <c r="V8" i="9" s="1"/>
  <c r="U8" i="9"/>
  <c r="U9" i="9" s="1"/>
  <c r="U5" i="9"/>
  <c r="X5" i="4"/>
  <c r="X5" i="7" s="1"/>
  <c r="W6" i="7"/>
  <c r="X4" i="4"/>
  <c r="X4" i="7"/>
  <c r="W6" i="4"/>
  <c r="Y7" i="9"/>
  <c r="AA5" i="3"/>
  <c r="Z7" i="2"/>
  <c r="Y10" i="2"/>
  <c r="Y4" i="3" s="1"/>
  <c r="Y6" i="3" s="1"/>
  <c r="V5" i="9" l="1"/>
  <c r="V9" i="9"/>
  <c r="W8" i="7"/>
  <c r="W9" i="7" s="1"/>
  <c r="W10" i="7" s="1"/>
  <c r="W13" i="7" s="1"/>
  <c r="W4" i="9" s="1"/>
  <c r="X6" i="4"/>
  <c r="Y4" i="4"/>
  <c r="Y4" i="7"/>
  <c r="Y5" i="4"/>
  <c r="Y5" i="7" s="1"/>
  <c r="X6" i="7"/>
  <c r="Z7" i="9"/>
  <c r="AB5" i="3"/>
  <c r="AA7" i="2"/>
  <c r="Z10" i="2"/>
  <c r="Z4" i="3" s="1"/>
  <c r="Z6" i="3" s="1"/>
  <c r="W8" i="9" l="1"/>
  <c r="W9" i="9" s="1"/>
  <c r="W5" i="9"/>
  <c r="X8" i="7"/>
  <c r="X9" i="7" s="1"/>
  <c r="X10" i="7" s="1"/>
  <c r="X13" i="7" s="1"/>
  <c r="X4" i="9" s="1"/>
  <c r="X8" i="9" s="1"/>
  <c r="Z5" i="4"/>
  <c r="Z5" i="7" s="1"/>
  <c r="Y6" i="7"/>
  <c r="Z4" i="4"/>
  <c r="Z4" i="7"/>
  <c r="Y6" i="4"/>
  <c r="AA7" i="9"/>
  <c r="AB7" i="2"/>
  <c r="AB10" i="2" s="1"/>
  <c r="AB4" i="3" s="1"/>
  <c r="AB6" i="3" s="1"/>
  <c r="AA10" i="2"/>
  <c r="AA4" i="3" s="1"/>
  <c r="AA6" i="3" s="1"/>
  <c r="X5" i="9" l="1"/>
  <c r="X9" i="9"/>
  <c r="Y8" i="7"/>
  <c r="Y9" i="7" s="1"/>
  <c r="Y10" i="7" s="1"/>
  <c r="Y13" i="7" s="1"/>
  <c r="Y4" i="9" s="1"/>
  <c r="Y8" i="9" s="1"/>
  <c r="Z6" i="4"/>
  <c r="AA4" i="4"/>
  <c r="AA4" i="7"/>
  <c r="AB4" i="4"/>
  <c r="AB4" i="7"/>
  <c r="AA5" i="4"/>
  <c r="AA5" i="7" s="1"/>
  <c r="Z6" i="7"/>
  <c r="AB7" i="9"/>
  <c r="Y9" i="9" l="1"/>
  <c r="Z8" i="7"/>
  <c r="Z9" i="7" s="1"/>
  <c r="Z10" i="7" s="1"/>
  <c r="Z13" i="7" s="1"/>
  <c r="Z4" i="9" s="1"/>
  <c r="Z8" i="9" s="1"/>
  <c r="Y5" i="9"/>
  <c r="AA6" i="7"/>
  <c r="AB5" i="4"/>
  <c r="AA6" i="4"/>
  <c r="AB6" i="4" l="1"/>
  <c r="AB5" i="7"/>
  <c r="Z9" i="9"/>
  <c r="Z5" i="9"/>
  <c r="AA8" i="7"/>
  <c r="AA9" i="7" s="1"/>
  <c r="AA10" i="7" s="1"/>
  <c r="AA13" i="7" s="1"/>
  <c r="AA4" i="9" s="1"/>
  <c r="AB6" i="7"/>
  <c r="AA8" i="9" l="1"/>
  <c r="AA9" i="9" s="1"/>
  <c r="AA5" i="9"/>
  <c r="AB8" i="7"/>
  <c r="AB9" i="7" s="1"/>
  <c r="AB10" i="7" s="1"/>
  <c r="C8" i="10" l="1"/>
  <c r="AB13" i="7"/>
  <c r="AB4" i="9" s="1"/>
  <c r="AB8" i="9" s="1"/>
  <c r="AB9" i="9" s="1"/>
  <c r="C6" i="10" l="1"/>
  <c r="B30" i="13" s="1"/>
  <c r="D12" i="11"/>
  <c r="AB5" i="9"/>
  <c r="C7" i="10"/>
  <c r="D30" i="13" s="1"/>
  <c r="C11" i="10"/>
  <c r="F38" i="13" s="1"/>
  <c r="E30" i="11" l="1"/>
  <c r="E82" i="1"/>
  <c r="D30" i="11"/>
  <c r="D82" i="1"/>
  <c r="E21" i="11"/>
  <c r="E72" i="1"/>
  <c r="D62" i="1"/>
  <c r="D21" i="11"/>
  <c r="D72" i="1"/>
  <c r="E12" i="11"/>
  <c r="E62" i="1"/>
</calcChain>
</file>

<file path=xl/sharedStrings.xml><?xml version="1.0" encoding="utf-8"?>
<sst xmlns="http://schemas.openxmlformats.org/spreadsheetml/2006/main" count="649" uniqueCount="270">
  <si>
    <t>Operation period</t>
  </si>
  <si>
    <t>Construction period</t>
  </si>
  <si>
    <t>Project lifetime</t>
  </si>
  <si>
    <t>Installed capacity</t>
  </si>
  <si>
    <t>Parameter</t>
  </si>
  <si>
    <t>Value</t>
  </si>
  <si>
    <t>Unit</t>
  </si>
  <si>
    <t>Capacity factor</t>
  </si>
  <si>
    <t>CAPEX</t>
  </si>
  <si>
    <t>OPEX</t>
  </si>
  <si>
    <t>Degradation</t>
  </si>
  <si>
    <t>Inflation</t>
  </si>
  <si>
    <t xml:space="preserve">Project type </t>
  </si>
  <si>
    <t xml:space="preserve">Utility-scale solar PV </t>
  </si>
  <si>
    <t>Source</t>
  </si>
  <si>
    <t>%</t>
  </si>
  <si>
    <t>https://www.solardataatlas.com/en/data-solar-capex-europe</t>
  </si>
  <si>
    <t>https://www.solardataatlas.com/en/data-solar-opex-europe</t>
  </si>
  <si>
    <t>Notes</t>
  </si>
  <si>
    <t>Solar Panel Degradation Rates - Greensolver</t>
  </si>
  <si>
    <t>https://www.solardataatlas.com/en/data-solar-ppa-prices-europe</t>
  </si>
  <si>
    <t>%/year</t>
  </si>
  <si>
    <t xml:space="preserve"> MWp</t>
  </si>
  <si>
    <t>€</t>
  </si>
  <si>
    <t>M€</t>
  </si>
  <si>
    <t>M€/year</t>
  </si>
  <si>
    <t>PPA electricity price</t>
  </si>
  <si>
    <t>France OPEX for utility-scale solar PV for the year 2026 : price range: 9 - 13 (€/Kwp/year) - HT
midpoint used as base case = 11 €/kWp/year</t>
  </si>
  <si>
    <t>France CAPEX for utility-scale solar PV for the year 2026 : price range: 750 - 950  (€/kWp) - HT
midpoint used as base case = 850 k€/kWp</t>
  </si>
  <si>
    <t>Project location</t>
  </si>
  <si>
    <t>France</t>
  </si>
  <si>
    <t>France PPA price range for the year 2026 price range: €50–68/MWh; 
midpoint used as base case = 59 €/MWh</t>
  </si>
  <si>
    <t>Average capacity factor for solar generation in France</t>
  </si>
  <si>
    <t>https://analysesetdonnees.rte-france.com/en/generation/solar</t>
  </si>
  <si>
    <t>https://www.banque-france.fr/fr/publications-et-statistiques/publications/quest-ce-que-la-politique-monetaire</t>
  </si>
  <si>
    <t>Assumption: 2% long-term inflation 
consistent with the ECB's medium-term inflation target</t>
  </si>
  <si>
    <t>1. Operational assumptions</t>
  </si>
  <si>
    <t>Corporate tax rate</t>
  </si>
  <si>
    <t>Impôt sur les sociétés |impots.gouv.fr</t>
  </si>
  <si>
    <t>Debt share</t>
  </si>
  <si>
    <t>Equity share</t>
  </si>
  <si>
    <t>N/A</t>
  </si>
  <si>
    <t>Debt tenor</t>
  </si>
  <si>
    <t>Cost of Equity</t>
  </si>
  <si>
    <t>WACC</t>
  </si>
  <si>
    <t>Discount rate</t>
  </si>
  <si>
    <t>Solar WACC Europe 2026 | Solar Data Atlas</t>
  </si>
  <si>
    <t>Calculated</t>
  </si>
  <si>
    <t>Cost of Equity for solar PV utility-scale projects in France; range: 6 – 10%</t>
  </si>
  <si>
    <t>Cost of Debt for solar PV utility-scale projects in France; range: 1.5 – 3.0%</t>
  </si>
  <si>
    <t>Assumption for utility-scale solar PV projects</t>
  </si>
  <si>
    <t>Assumed equal to WACC for project DCF</t>
  </si>
  <si>
    <t>2. Financial assumptions</t>
  </si>
  <si>
    <t xml:space="preserve"> </t>
  </si>
  <si>
    <t>Paremeter</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</si>
  <si>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</si>
  <si>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</si>
  <si>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</si>
  <si>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</si>
  <si>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</si>
  <si>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</si>
  <si>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</si>
  <si>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</si>
  <si>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</si>
  <si>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</si>
  <si>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</si>
  <si>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</si>
  <si>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</si>
  <si>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</si>
  <si>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</si>
  <si>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</si>
  <si>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</si>
  <si>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</si>
  <si>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</si>
  <si>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</si>
  <si>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</si>
  <si>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</si>
  <si>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</si>
  <si>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</si>
  <si>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</si>
  <si>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Year 0</t>
  </si>
  <si>
    <t>MWp</t>
  </si>
  <si>
    <t>h</t>
  </si>
  <si>
    <t>MWh</t>
  </si>
  <si>
    <t>Hours per year</t>
  </si>
  <si>
    <t>Capacity Factor</t>
  </si>
  <si>
    <t>Gross Annual Production</t>
  </si>
  <si>
    <t>Net Electricity Production</t>
  </si>
  <si>
    <t>System losses</t>
  </si>
  <si>
    <t>Annual Revenue</t>
  </si>
  <si>
    <t>€/MWh</t>
  </si>
  <si>
    <t xml:space="preserve">Degradation: the gradual loss of a solar panel's ability to produce electricity over time.
</t>
  </si>
  <si>
    <t>System losses: electricity lost during the operation and transmission of the PV system (e.g. wiring, inverter, soiling, shading, mismatch, etc.).</t>
  </si>
  <si>
    <t>CAPEX: Capital Expenditure is the upfront investment required to build and equip the solar project.</t>
  </si>
  <si>
    <t>Definitions:</t>
  </si>
  <si>
    <t>EBITDA: Earnings Before Interests Taxes Depreciation and Amortization. Measures the project's operating profitability .</t>
  </si>
  <si>
    <t>EBITDA</t>
  </si>
  <si>
    <t>Depreciation is the accounting allocation of an asset's cost over its useful life.</t>
  </si>
  <si>
    <t>Depreciation period</t>
  </si>
  <si>
    <t>Depreciation rate</t>
  </si>
  <si>
    <t>Annual depreciation</t>
  </si>
  <si>
    <t>Accumulated depreciation</t>
  </si>
  <si>
    <t>Book Value</t>
  </si>
  <si>
    <t>Depreciation method</t>
  </si>
  <si>
    <t>straight-line</t>
  </si>
  <si>
    <t>Initial Equity</t>
  </si>
  <si>
    <t>Interest expense</t>
  </si>
  <si>
    <t>Principal repayment</t>
  </si>
  <si>
    <t>Debt service</t>
  </si>
  <si>
    <t>Interest rate</t>
  </si>
  <si>
    <t>Cost of Debt (Interest rate)</t>
  </si>
  <si>
    <t>Closing Debt Balance</t>
  </si>
  <si>
    <t>Opening Debt Balance</t>
  </si>
  <si>
    <t>EBIT</t>
  </si>
  <si>
    <t>Corporate Tax</t>
  </si>
  <si>
    <t>Cash flow to equity = cash available to equity investors after debt payments.</t>
  </si>
  <si>
    <t xml:space="preserve">Definitions: </t>
  </si>
  <si>
    <t>NOPAT</t>
  </si>
  <si>
    <t>Unlevered Free Cash Flow</t>
  </si>
  <si>
    <t>Discount Rate / WACC</t>
  </si>
  <si>
    <t>Discount Factor</t>
  </si>
  <si>
    <t>-</t>
  </si>
  <si>
    <t>Cumulative Present Value</t>
  </si>
  <si>
    <t>Discounted Cash Flow
(Present Value of UFCF)</t>
  </si>
  <si>
    <t>Result</t>
  </si>
  <si>
    <t>Initial Investment</t>
  </si>
  <si>
    <t>Discount Rate</t>
  </si>
  <si>
    <t>NPV</t>
  </si>
  <si>
    <t>IRR</t>
  </si>
  <si>
    <t>Simple Payback Period</t>
  </si>
  <si>
    <t>years</t>
  </si>
  <si>
    <t>ROI</t>
  </si>
  <si>
    <t>Cumulative UFCF</t>
  </si>
  <si>
    <t>Unlevered Free Cash Flow (UFCF)</t>
  </si>
  <si>
    <t>Variable</t>
  </si>
  <si>
    <t>Base Case</t>
  </si>
  <si>
    <t>Scenarios</t>
  </si>
  <si>
    <t>PPA Price</t>
  </si>
  <si>
    <t>-20%, -10%, Base, +10%, +20%</t>
  </si>
  <si>
    <t>The sensitivity analysis will be conducted on 3 variables : PPA price, CAPEX, Capacity Factor</t>
  </si>
  <si>
    <t>1. PPA Price</t>
  </si>
  <si>
    <t>Scenario</t>
  </si>
  <si>
    <t>Scenario #1</t>
  </si>
  <si>
    <t>Scenario #2</t>
  </si>
  <si>
    <t>Scenario #3</t>
  </si>
  <si>
    <t>Scenario #4</t>
  </si>
  <si>
    <t>Scenario #5</t>
  </si>
  <si>
    <t>(%) of change</t>
  </si>
  <si>
    <t>Sensitivity analysis - Data table calculations : for better view, see sheet 10_Sensitivity Analysis</t>
  </si>
  <si>
    <t>2. CAPEX</t>
  </si>
  <si>
    <t>Scenario 1</t>
  </si>
  <si>
    <t>Scenario 2</t>
  </si>
  <si>
    <t>Scenario 3</t>
  </si>
  <si>
    <t>Scenario 4</t>
  </si>
  <si>
    <t>Scenario 5</t>
  </si>
  <si>
    <t>3. Capacity Factor</t>
  </si>
  <si>
    <t>Project Overview</t>
  </si>
  <si>
    <t>Project</t>
  </si>
  <si>
    <t>Utility-Scale Solar PV</t>
  </si>
  <si>
    <t>Location</t>
  </si>
  <si>
    <t>Installed Capacity</t>
  </si>
  <si>
    <t>100 MWp</t>
  </si>
  <si>
    <t>Construction Period</t>
  </si>
  <si>
    <t>1 year</t>
  </si>
  <si>
    <t>Operating Period</t>
  </si>
  <si>
    <t>25 years</t>
  </si>
  <si>
    <t>Revenue Model</t>
  </si>
  <si>
    <t>Power Purchase Agreement (PPA)</t>
  </si>
  <si>
    <t>Financial Analysis</t>
  </si>
  <si>
    <t>Unlevered Project DCF</t>
  </si>
  <si>
    <t>Base Year</t>
  </si>
  <si>
    <t>SOLAR PV PROJECT — FINANCIAL MODEL &amp; INVESTMENT ANALYSIS</t>
  </si>
  <si>
    <t>100 MWp Utility-Scale Solar PV | France | 25-Year Investment Horizon</t>
  </si>
  <si>
    <t xml:space="preserve">Installed Capacity </t>
  </si>
  <si>
    <t>1. Key Assumptions</t>
  </si>
  <si>
    <t>System Losses</t>
  </si>
  <si>
    <t>Annual Degradation</t>
  </si>
  <si>
    <t>Initial PPA Price</t>
  </si>
  <si>
    <t>Inflation Rate</t>
  </si>
  <si>
    <t>Corporate Tax Rate</t>
  </si>
  <si>
    <t>Debt / Equity</t>
  </si>
  <si>
    <t>75% / 25%</t>
  </si>
  <si>
    <t>Cost of Debt</t>
  </si>
  <si>
    <t>Debt Tenor</t>
  </si>
  <si>
    <t>2. Investment KPIs</t>
  </si>
  <si>
    <t xml:space="preserve">   IRR</t>
  </si>
  <si>
    <t>Simple Payback</t>
  </si>
  <si>
    <t>Discounted Payback</t>
  </si>
  <si>
    <t>Profitability Index</t>
  </si>
  <si>
    <t>4. Investment Recommendation</t>
  </si>
  <si>
    <r>
      <rPr>
        <b/>
        <sz val="11"/>
        <color rgb="FFC00000"/>
        <rFont val="Aptos"/>
        <family val="2"/>
      </rPr>
      <t>Proceed with caution.</t>
    </r>
    <r>
      <rPr>
        <b/>
        <sz val="11"/>
        <color theme="1"/>
        <rFont val="Aptos"/>
        <family val="2"/>
      </rPr>
      <t xml:space="preserve">
</t>
    </r>
    <r>
      <rPr>
        <sz val="11"/>
        <color theme="1"/>
        <rFont val="Aptos"/>
        <family val="2"/>
      </rPr>
      <t>The project is financially viable under the base case, with positive NPV and IRR above the required return. However, the limited spread between IRR and WACC, long payback period and sensitivity to key assumptions indicate a relatively narrow margin of safety. Investment should therefore proceed only if PPA pricing, expected production performance and CAPEX can be secured close to the base-case assumptions.</t>
    </r>
  </si>
  <si>
    <t>3.1. FINANCIAL ATTRACTIVENESS</t>
  </si>
  <si>
    <t>3.2. VALUE DRIVERS</t>
  </si>
  <si>
    <t>3.3. LIMITED MARGIN OF SAFETY</t>
  </si>
  <si>
    <t>Lower PPA prices directly reduce project revenues and returns.</t>
  </si>
  <si>
    <t>3.4. REVENUE RISK</t>
  </si>
  <si>
    <t>A lower-than-expected capacity factor reduces electricity production and therefore revenue generation.</t>
  </si>
  <si>
    <t>3.5. OPERATIONAL RISK</t>
  </si>
  <si>
    <t>CAPEX overruns can significantly reduce project value.</t>
  </si>
  <si>
    <t>3.6. INVESTMENT COST RISK</t>
  </si>
  <si>
    <t>3.7. PROFITABILITY THRESHOLD</t>
  </si>
  <si>
    <t>Based on the sensitivity analysis, project attractiveness deteriorates around a PPA price of ~€55/MWh, CAPEX of ~€93M, or capacity factor of ~13%, where NPV approaches zero and IRR approaches the required return.</t>
  </si>
  <si>
    <t>Risk</t>
  </si>
  <si>
    <t>Business Impact</t>
  </si>
  <si>
    <t>Revenue Risk</t>
  </si>
  <si>
    <t>Lower PPA prices reduce revenues and investment returns.</t>
  </si>
  <si>
    <t>Operational Risk</t>
  </si>
  <si>
    <t>Lower capacity factor reduces electricity generation and revenues.</t>
  </si>
  <si>
    <t>CAPEX Risk</t>
  </si>
  <si>
    <t>Cost overruns directly reduce project value.</t>
  </si>
  <si>
    <t>Profitability Threshold</t>
  </si>
  <si>
    <t>NPV approaches zero around ~€55/MWh PPA, ~€93M CAPEX or ~13% capacity factor.</t>
  </si>
  <si>
    <t>6. Investment Recommendation</t>
  </si>
  <si>
    <t>4. Key Insights</t>
  </si>
  <si>
    <r>
      <t xml:space="preserve">PROCEED WITH CAUTION
</t>
    </r>
    <r>
      <rPr>
        <sz val="14"/>
        <color rgb="FF252525"/>
        <rFont val="Aptos"/>
        <family val="2"/>
      </rPr>
      <t>The project is financially viable under the base case, with positive NPV and IRR above the required return. However, the narrow IRR–WACC spread, long discounted payback and sensitivity to key assumptions indicate limited downside protection. Investment should proceed provided that PPA pricing, production performance and CAPEX remain close to base-case assumptions.</t>
    </r>
  </si>
  <si>
    <t>3. NPV Sensitivity</t>
  </si>
  <si>
    <t>Downside protection refers to the project's ability to remain financially viable if key assumptions perform worse than expected.</t>
  </si>
  <si>
    <r>
      <t xml:space="preserve">The project is financially viable under the base case, generating a </t>
    </r>
    <r>
      <rPr>
        <b/>
        <sz val="12"/>
        <color theme="1"/>
        <rFont val="Aptos"/>
        <family val="2"/>
      </rPr>
      <t>6.73M € NPV</t>
    </r>
    <r>
      <rPr>
        <sz val="12"/>
        <color theme="1"/>
        <rFont val="Aptos"/>
        <family val="2"/>
      </rPr>
      <t xml:space="preserve"> and </t>
    </r>
    <r>
      <rPr>
        <b/>
        <sz val="12"/>
        <color theme="1"/>
        <rFont val="Aptos"/>
        <family val="2"/>
      </rPr>
      <t>3.94%</t>
    </r>
    <r>
      <rPr>
        <sz val="12"/>
        <color theme="1"/>
        <rFont val="Aptos"/>
        <family val="2"/>
      </rPr>
      <t xml:space="preserve"> IRR, above the </t>
    </r>
    <r>
      <rPr>
        <b/>
        <sz val="12"/>
        <color theme="1"/>
        <rFont val="Aptos"/>
        <family val="2"/>
      </rPr>
      <t>3.27% WACC</t>
    </r>
    <r>
      <rPr>
        <sz val="12"/>
        <color theme="1"/>
        <rFont val="Aptos"/>
        <family val="2"/>
      </rPr>
      <t xml:space="preserve">. Investment is recovered within the 25-year lifetime, although discounted payback reaches </t>
    </r>
    <r>
      <rPr>
        <b/>
        <sz val="12"/>
        <color theme="1"/>
        <rFont val="Aptos"/>
        <family val="2"/>
      </rPr>
      <t>23 years</t>
    </r>
    <r>
      <rPr>
        <sz val="12"/>
        <color theme="1"/>
        <rFont val="Aptos"/>
        <family val="2"/>
      </rPr>
      <t>.</t>
    </r>
  </si>
  <si>
    <r>
      <rPr>
        <b/>
        <sz val="12"/>
        <color theme="1"/>
        <rFont val="Aptos"/>
        <family val="2"/>
      </rPr>
      <t>Project value is primarily driven by PPA price, capacity factor and CAPEX</t>
    </r>
    <r>
      <rPr>
        <sz val="12"/>
        <color theme="1"/>
        <rFont val="Aptos"/>
        <family val="2"/>
      </rPr>
      <t>. Higher PPA prices and capacity factors increase revenues and project returns, while higher upfront CAPEX reduces both NPV and IRR.</t>
    </r>
  </si>
  <si>
    <r>
      <t xml:space="preserve">Although the base case creates value, the relatively narrow </t>
    </r>
    <r>
      <rPr>
        <b/>
        <sz val="12"/>
        <color theme="1"/>
        <rFont val="Aptos"/>
        <family val="2"/>
      </rPr>
      <t>0.67 percentage-point spread between IRR and WACC</t>
    </r>
    <r>
      <rPr>
        <sz val="12"/>
        <color theme="1"/>
        <rFont val="Aptos"/>
        <family val="2"/>
      </rPr>
      <t xml:space="preserve"> and the long discounted payback period indicate limited downside protection.</t>
    </r>
  </si>
  <si>
    <t>5. Key Risks</t>
  </si>
  <si>
    <t xml:space="preserve"> years</t>
  </si>
  <si>
    <t>(PPA price and capacity factor sensitivities overlap due to their equivalent proportional impact on revenue in the simplified model)</t>
  </si>
  <si>
    <r>
      <t>OPEX:</t>
    </r>
    <r>
      <rPr>
        <sz val="11"/>
        <color theme="1" tint="0.499984740745262"/>
        <rFont val="Aptos"/>
        <family val="2"/>
      </rPr>
      <t xml:space="preserve"> </t>
    </r>
    <r>
      <rPr>
        <i/>
        <sz val="11"/>
        <color theme="1" tint="0.499984740745262"/>
        <rFont val="Aptos"/>
        <family val="2"/>
      </rPr>
      <t>Operating Expenditure represents the recurring costs required to operate and maintain the solar project.</t>
    </r>
  </si>
  <si>
    <r>
      <rPr>
        <b/>
        <sz val="12"/>
        <color theme="7" tint="-0.249977111117893"/>
        <rFont val="Aptos Narrow"/>
        <family val="2"/>
        <scheme val="minor"/>
      </rPr>
      <t xml:space="preserve">Blue = Input </t>
    </r>
    <r>
      <rPr>
        <b/>
        <sz val="12"/>
        <color theme="1"/>
        <rFont val="Aptos Narrow"/>
        <family val="2"/>
        <scheme val="minor"/>
      </rPr>
      <t xml:space="preserve">| Black = Formula | </t>
    </r>
    <r>
      <rPr>
        <b/>
        <sz val="12"/>
        <color rgb="FF00B050"/>
        <rFont val="Aptos Narrow"/>
        <family val="2"/>
        <scheme val="minor"/>
      </rPr>
      <t>Green = Cross-sheet link</t>
    </r>
  </si>
  <si>
    <t>OPERATING MODEL</t>
  </si>
  <si>
    <t>REVENUE MODEL</t>
  </si>
  <si>
    <t>OPERATING COSTS &amp; EBITDA</t>
  </si>
  <si>
    <t>DEPRECIATION SCHEDULE</t>
  </si>
  <si>
    <t>DEBT FINANCING SCHEDULE</t>
  </si>
  <si>
    <t>UNLEVERED FREE CASH FLOW</t>
  </si>
  <si>
    <r>
      <rPr>
        <b/>
        <i/>
        <sz val="11"/>
        <color theme="1" tint="0.499984740745262"/>
        <rFont val="Aptos"/>
        <family val="2"/>
      </rPr>
      <t>EBIT:</t>
    </r>
    <r>
      <rPr>
        <i/>
        <sz val="11"/>
        <color theme="1" tint="0.499984740745262"/>
        <rFont val="Aptos"/>
        <family val="2"/>
      </rPr>
      <t xml:space="preserve"> measures operating profit after depreciation and amortization but before interest and taxes.</t>
    </r>
  </si>
  <si>
    <r>
      <rPr>
        <b/>
        <i/>
        <sz val="11"/>
        <color theme="1" tint="0.499984740745262"/>
        <rFont val="Aptos"/>
        <family val="2"/>
      </rPr>
      <t>Non-cash expense:</t>
    </r>
    <r>
      <rPr>
        <i/>
        <sz val="11"/>
        <color theme="1" tint="0.499984740745262"/>
        <rFont val="Aptos"/>
        <family val="2"/>
      </rPr>
      <t xml:space="preserve"> reduces accounting profit without creating a cash outflow in the current period.</t>
    </r>
  </si>
  <si>
    <r>
      <rPr>
        <b/>
        <i/>
        <sz val="11"/>
        <color theme="1" tint="0.499984740745262"/>
        <rFont val="Aptos"/>
        <family val="2"/>
      </rPr>
      <t xml:space="preserve">Cash Flow: </t>
    </r>
    <r>
      <rPr>
        <i/>
        <sz val="11"/>
        <color theme="1" tint="0.499984740745262"/>
        <rFont val="Aptos"/>
        <family val="2"/>
      </rPr>
      <t>measures the actual cash generated or consumed by the project during a given period.</t>
    </r>
  </si>
  <si>
    <r>
      <rPr>
        <b/>
        <i/>
        <sz val="11"/>
        <color theme="1" tint="0.499984740745262"/>
        <rFont val="Aptos"/>
        <family val="2"/>
      </rPr>
      <t>Net Operating Profit After Tax:</t>
    </r>
    <r>
      <rPr>
        <i/>
        <sz val="11"/>
        <color theme="1" tint="0.499984740745262"/>
        <rFont val="Aptos"/>
        <family val="2"/>
      </rPr>
      <t xml:space="preserve"> is the project's operating profit after tax, before financing effects.</t>
    </r>
  </si>
  <si>
    <r>
      <rPr>
        <b/>
        <i/>
        <sz val="11"/>
        <color theme="1" tint="0.499984740745262"/>
        <rFont val="Aptos"/>
        <family val="2"/>
      </rPr>
      <t>Unlevered Free Cash Flow:</t>
    </r>
    <r>
      <rPr>
        <i/>
        <sz val="11"/>
        <color theme="1" tint="0.499984740745262"/>
        <rFont val="Aptos"/>
        <family val="2"/>
      </rPr>
      <t xml:space="preserve"> is the cash generated by a project before considering debt financing and equity distributions.</t>
    </r>
  </si>
  <si>
    <t>(+) Depreciation Add-Back</t>
  </si>
  <si>
    <t>(-) CAPEX</t>
  </si>
  <si>
    <t>(+) Depreciation</t>
  </si>
  <si>
    <t>DCF VALUATION</t>
  </si>
  <si>
    <t>INVESTMENT RETURNS</t>
  </si>
  <si>
    <r>
      <rPr>
        <b/>
        <sz val="12"/>
        <color theme="7" tint="-0.249977111117893"/>
        <rFont val="Aptos"/>
        <family val="2"/>
      </rPr>
      <t xml:space="preserve">Blue = Input </t>
    </r>
    <r>
      <rPr>
        <b/>
        <sz val="12"/>
        <color theme="1"/>
        <rFont val="Aptos"/>
        <family val="2"/>
      </rPr>
      <t xml:space="preserve">| Black = Formula | </t>
    </r>
    <r>
      <rPr>
        <b/>
        <sz val="12"/>
        <color rgb="FF00B050"/>
        <rFont val="Aptos"/>
        <family val="2"/>
      </rPr>
      <t>Green = Cross-sheet link</t>
    </r>
  </si>
  <si>
    <r>
      <rPr>
        <b/>
        <i/>
        <sz val="11"/>
        <color theme="1" tint="0.499984740745262"/>
        <rFont val="Aptos"/>
        <family val="2"/>
      </rPr>
      <t xml:space="preserve">Discount Rate: </t>
    </r>
    <r>
      <rPr>
        <i/>
        <sz val="11"/>
        <color theme="1" tint="0.499984740745262"/>
        <rFont val="Aptos"/>
        <family val="2"/>
      </rPr>
      <t>The rate used to convert future cash flows into their present value.</t>
    </r>
  </si>
  <si>
    <r>
      <rPr>
        <b/>
        <i/>
        <sz val="11"/>
        <color theme="1" tint="0.499984740745262"/>
        <rFont val="Aptos"/>
        <family val="2"/>
      </rPr>
      <t>WACC:</t>
    </r>
    <r>
      <rPr>
        <i/>
        <sz val="11"/>
        <color theme="1" tint="0.499984740745262"/>
        <rFont val="Aptos"/>
        <family val="2"/>
      </rPr>
      <t xml:space="preserve"> The weighted average cost of debt and equity used as the discount rate for unlevered cash flows.</t>
    </r>
  </si>
  <si>
    <r>
      <rPr>
        <b/>
        <i/>
        <sz val="11"/>
        <color theme="1" tint="0.499984740745262"/>
        <rFont val="Aptos"/>
        <family val="2"/>
      </rPr>
      <t xml:space="preserve">Discount Factor: </t>
    </r>
    <r>
      <rPr>
        <i/>
        <sz val="11"/>
        <color theme="1" tint="0.499984740745262"/>
        <rFont val="Aptos"/>
        <family val="2"/>
      </rPr>
      <t>A factor used to convert a future cash flow into its present value.</t>
    </r>
  </si>
  <si>
    <r>
      <rPr>
        <b/>
        <i/>
        <sz val="11"/>
        <color theme="1" tint="0.499984740745262"/>
        <rFont val="Aptos"/>
        <family val="2"/>
      </rPr>
      <t>Present Value (PV):</t>
    </r>
    <r>
      <rPr>
        <i/>
        <sz val="11"/>
        <color theme="1" tint="0.499984740745262"/>
        <rFont val="Aptos"/>
        <family val="2"/>
      </rPr>
      <t xml:space="preserve"> The value today of a future cash flow after applying the discount rate.</t>
    </r>
  </si>
  <si>
    <r>
      <rPr>
        <b/>
        <i/>
        <sz val="11"/>
        <color theme="1" tint="0.499984740745262"/>
        <rFont val="Aptos"/>
        <family val="2"/>
      </rPr>
      <t>Discounted Cash Flow (DCF)</t>
    </r>
    <r>
      <rPr>
        <i/>
        <sz val="11"/>
        <color theme="1" tint="0.499984740745262"/>
        <rFont val="Aptos"/>
        <family val="2"/>
      </rPr>
      <t>: A valuation method that estimates the value of an investment by discounting its future cash flows to the present.</t>
    </r>
  </si>
  <si>
    <r>
      <rPr>
        <b/>
        <i/>
        <sz val="11"/>
        <color theme="1" tint="0.499984740745262"/>
        <rFont val="Aptos"/>
        <family val="2"/>
      </rPr>
      <t>NPV:</t>
    </r>
    <r>
      <rPr>
        <i/>
        <sz val="11"/>
        <color theme="1" tint="0.499984740745262"/>
        <rFont val="Aptos"/>
        <family val="2"/>
      </rPr>
      <t xml:space="preserve"> The present value of all future cash flows minus the initial investment.</t>
    </r>
  </si>
  <si>
    <r>
      <rPr>
        <b/>
        <i/>
        <sz val="11"/>
        <color theme="1" tint="0.499984740745262"/>
        <rFont val="Aptos"/>
        <family val="2"/>
      </rPr>
      <t>IRR:</t>
    </r>
    <r>
      <rPr>
        <i/>
        <sz val="11"/>
        <color theme="1" tint="0.499984740745262"/>
        <rFont val="Aptos"/>
        <family val="2"/>
      </rPr>
      <t xml:space="preserve"> The discount rate at which the NPV of an investment equals zero.</t>
    </r>
  </si>
  <si>
    <r>
      <rPr>
        <b/>
        <i/>
        <sz val="11"/>
        <color theme="1" tint="0.499984740745262"/>
        <rFont val="Aptos"/>
        <family val="2"/>
      </rPr>
      <t>Profitability Index</t>
    </r>
    <r>
      <rPr>
        <i/>
        <sz val="11"/>
        <color theme="1" tint="0.499984740745262"/>
        <rFont val="Aptos"/>
        <family val="2"/>
      </rPr>
      <t>: measures how much present value is generated per €1 of initial investment.</t>
    </r>
  </si>
  <si>
    <r>
      <rPr>
        <b/>
        <i/>
        <sz val="11"/>
        <color theme="1" tint="0.499984740745262"/>
        <rFont val="Aptos"/>
        <family val="2"/>
      </rPr>
      <t>Unlevered</t>
    </r>
    <r>
      <rPr>
        <i/>
        <sz val="11"/>
        <color theme="1" tint="0.499984740745262"/>
        <rFont val="Aptos"/>
        <family val="2"/>
      </rPr>
      <t>: means that the impact of debt financing is excluded.</t>
    </r>
  </si>
  <si>
    <r>
      <rPr>
        <b/>
        <i/>
        <sz val="11"/>
        <color theme="1" tint="0.499984740745262"/>
        <rFont val="Aptos"/>
        <family val="2"/>
      </rPr>
      <t>IRR</t>
    </r>
    <r>
      <rPr>
        <i/>
        <sz val="11"/>
        <color theme="1" tint="0.499984740745262"/>
        <rFont val="Aptos"/>
        <family val="2"/>
      </rPr>
      <t>: is the discount rate at which the NPV of an investment equals zero.</t>
    </r>
  </si>
  <si>
    <r>
      <rPr>
        <b/>
        <i/>
        <sz val="11"/>
        <color theme="1" tint="0.499984740745262"/>
        <rFont val="Aptos"/>
        <family val="2"/>
      </rPr>
      <t xml:space="preserve">ROI: </t>
    </r>
    <r>
      <rPr>
        <i/>
        <sz val="11"/>
        <color theme="1" tint="0.499984740745262"/>
        <rFont val="Aptos"/>
        <family val="2"/>
      </rPr>
      <t>measures the return generated by an investment relative to the initial investment.</t>
    </r>
  </si>
  <si>
    <r>
      <rPr>
        <b/>
        <i/>
        <sz val="11"/>
        <color theme="1" tint="0.499984740745262"/>
        <rFont val="Aptos"/>
        <family val="2"/>
      </rPr>
      <t>Payback Period:</t>
    </r>
    <r>
      <rPr>
        <i/>
        <sz val="11"/>
        <color theme="1" tint="0.499984740745262"/>
        <rFont val="Aptos"/>
        <family val="2"/>
      </rPr>
      <t xml:space="preserve"> is the time required for a project to recover its initial investment from its cash flows.</t>
    </r>
  </si>
  <si>
    <r>
      <rPr>
        <b/>
        <i/>
        <sz val="11"/>
        <color theme="1" tint="0.499984740745262"/>
        <rFont val="Aptos"/>
        <family val="2"/>
      </rPr>
      <t>Simple Payback Period:</t>
    </r>
    <r>
      <rPr>
        <i/>
        <sz val="11"/>
        <color theme="1" tint="0.499984740745262"/>
        <rFont val="Aptos"/>
        <family val="2"/>
      </rPr>
      <t xml:space="preserve"> measures the time needed to recover the initial investment using </t>
    </r>
    <r>
      <rPr>
        <b/>
        <i/>
        <sz val="11"/>
        <color theme="1" tint="0.499984740745262"/>
        <rFont val="Aptos"/>
        <family val="2"/>
      </rPr>
      <t>undiscounted</t>
    </r>
    <r>
      <rPr>
        <i/>
        <sz val="11"/>
        <color theme="1" tint="0.499984740745262"/>
        <rFont val="Aptos"/>
        <family val="2"/>
      </rPr>
      <t xml:space="preserve"> cash flows.</t>
    </r>
  </si>
  <si>
    <r>
      <rPr>
        <b/>
        <i/>
        <sz val="11"/>
        <color theme="1" tint="0.499984740745262"/>
        <rFont val="Aptos"/>
        <family val="2"/>
      </rPr>
      <t>Discounted Payback Period:</t>
    </r>
    <r>
      <rPr>
        <i/>
        <sz val="11"/>
        <color theme="1" tint="0.499984740745262"/>
        <rFont val="Aptos"/>
        <family val="2"/>
      </rPr>
      <t xml:space="preserve"> measures the time needed to recover the initial investment using </t>
    </r>
    <r>
      <rPr>
        <b/>
        <i/>
        <sz val="11"/>
        <color theme="1" tint="0.499984740745262"/>
        <rFont val="Aptos"/>
        <family val="2"/>
      </rPr>
      <t>discounted</t>
    </r>
    <r>
      <rPr>
        <i/>
        <sz val="11"/>
        <color theme="1" tint="0.499984740745262"/>
        <rFont val="Aptos"/>
        <family val="2"/>
      </rPr>
      <t xml:space="preserve"> cash flows.</t>
    </r>
  </si>
  <si>
    <t>Discounted Payback Period</t>
  </si>
  <si>
    <t>SENSITIVITY ANALYSIS</t>
  </si>
  <si>
    <t>1. Sensitivity Assumptions</t>
  </si>
  <si>
    <t>2. NPV Sensitivity</t>
  </si>
  <si>
    <t>3. IRR Sensitivity</t>
  </si>
  <si>
    <t>1.1. PPA Price</t>
  </si>
  <si>
    <t>1.2. CAPEX</t>
  </si>
  <si>
    <t>1.3. Capacity Factor</t>
  </si>
  <si>
    <t>In the simplified model, NPV shows identical sensitivity to proportional changes in PPA price and capacity factor because both variables affect revenue linearly.
PPA Price and Capacity Factor curves overlap due to their equivalent proportional impact on revenue in the simplified model.</t>
  </si>
  <si>
    <t>MWp: One MWp equals one million watts (1,000 kilowatts) of peak direct current (DC) power, which is the maximum power output a solar photovoltaic system can produce under ideal laboratory test conditions</t>
  </si>
  <si>
    <t>-10% Impact</t>
  </si>
  <si>
    <t>+10% Impact</t>
  </si>
  <si>
    <t>Capacity Factor (%)</t>
  </si>
  <si>
    <t xml:space="preserve">CAPEX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</si>
</sst>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0.0%"/>
    <numFmt numFmtId="165" formatCode="#,##0\ [$€-1]"/>
    <numFmt numFmtId="166" formatCode="#,##0.00\ [$€-1]"/>
    <numFmt numFmtId="167" formatCode="0.00,,&quot;M&quot;\ \€"/>
    <numFmt numFmtId="168" formatCode="0\ &quot;years&quot;"/>
  </numFmts>
  <fonts count="42" x14ac:knownFonts="1">
    <font>
      <sz val="11"/>
      <color theme="1"/>
      <name val="Aptos Narrow"/>
      <family val="2"/>
      <scheme val="minor"/>
    </font>
    <font>
      <sz val="11"/>
      <color theme="1"/>
      <name val="Aptos Narrow"/>
      <family val="2"/>
      <scheme val="minor"/>
    </font>
    <font>
      <u/>
      <sz val="11"/>
      <color theme="10"/>
      <name val="Aptos Narrow"/>
      <family val="2"/>
      <scheme val="minor"/>
    </font>
    <font>
      <sz val="8"/>
      <name val="Aptos Narrow"/>
      <family val="2"/>
      <scheme val="minor"/>
    </font>
    <font>
      <sz val="11"/>
      <color theme="1"/>
      <name val="Aptos"/>
      <family val="2"/>
    </font>
    <font>
      <b/>
      <sz val="13.5"/>
      <color theme="1"/>
      <name val="Aptos"/>
      <family val="2"/>
    </font>
    <font>
      <b/>
      <sz val="11"/>
      <color theme="1"/>
      <name val="Aptos"/>
      <family val="2"/>
    </font>
    <font>
      <b/>
      <sz val="11"/>
      <color rgb="FFC00000"/>
      <name val="Aptos"/>
      <family val="2"/>
    </font>
    <font>
      <b/>
      <sz val="14"/>
      <color theme="0"/>
      <name val="Aptos"/>
      <family val="2"/>
    </font>
    <font>
      <b/>
      <sz val="18"/>
      <color theme="0"/>
      <name val="Aptos Display"/>
      <family val="2"/>
      <scheme val="major"/>
    </font>
    <font>
      <b/>
      <sz val="14"/>
      <color rgb="FF163D32"/>
      <name val="Aptos"/>
      <family val="2"/>
    </font>
    <font>
      <b/>
      <sz val="18"/>
      <color theme="0"/>
      <name val="Aptos"/>
      <family val="2"/>
    </font>
    <font>
      <sz val="18"/>
      <color theme="0"/>
      <name val="Aptos"/>
      <family val="2"/>
    </font>
    <font>
      <sz val="11"/>
      <color rgb="FF163D32"/>
      <name val="Aptos"/>
      <family val="2"/>
    </font>
    <font>
      <b/>
      <sz val="18"/>
      <color rgb="FF163D32"/>
      <name val="Aptos"/>
      <family val="2"/>
    </font>
    <font>
      <sz val="18"/>
      <color rgb="FF3F725E"/>
      <name val="Aptos"/>
      <family val="2"/>
    </font>
    <font>
      <b/>
      <sz val="12"/>
      <color rgb="FF163D32"/>
      <name val="Aptos"/>
      <family val="2"/>
    </font>
    <font>
      <b/>
      <sz val="16"/>
      <color rgb="FF163D32"/>
      <name val="Aptos"/>
      <family val="2"/>
    </font>
    <font>
      <b/>
      <sz val="12"/>
      <color theme="1"/>
      <name val="Aptos"/>
      <family val="2"/>
    </font>
    <font>
      <sz val="12"/>
      <color theme="1"/>
      <name val="Aptos"/>
      <family val="2"/>
    </font>
    <font>
      <sz val="14"/>
      <color rgb="FF252525"/>
      <name val="Aptos"/>
      <family val="2"/>
    </font>
    <font>
      <i/>
      <sz val="12"/>
      <color theme="1"/>
      <name val="Aptos"/>
      <family val="2"/>
    </font>
    <font>
      <sz val="12"/>
      <color rgb="FF252525"/>
      <name val="Aptos"/>
      <family val="2"/>
    </font>
    <font>
      <b/>
      <sz val="12"/>
      <color theme="0"/>
      <name val="Aptos"/>
      <family val="2"/>
    </font>
    <font>
      <u/>
      <sz val="11"/>
      <color theme="10"/>
      <name val="Aptos"/>
      <family val="2"/>
    </font>
    <font>
      <i/>
      <sz val="11"/>
      <color theme="1" tint="0.499984740745262"/>
      <name val="Aptos"/>
      <family val="2"/>
    </font>
    <font>
      <sz val="11"/>
      <color theme="1" tint="0.499984740745262"/>
      <name val="Aptos"/>
      <family val="2"/>
    </font>
    <font>
      <b/>
      <sz val="14"/>
      <color theme="1"/>
      <name val="Aptos"/>
      <family val="2"/>
    </font>
    <font>
      <b/>
      <sz val="11"/>
      <name val="Aptos"/>
      <family val="2"/>
    </font>
    <font>
      <sz val="11"/>
      <name val="Aptos"/>
      <family val="2"/>
    </font>
    <font>
      <sz val="11"/>
      <color theme="7" tint="-0.249977111117893"/>
      <name val="Aptos"/>
      <family val="2"/>
    </font>
    <font>
      <b/>
      <sz val="12"/>
      <color theme="1"/>
      <name val="Aptos Narrow"/>
      <family val="2"/>
      <scheme val="minor"/>
    </font>
    <font>
      <b/>
      <sz val="12"/>
      <color theme="7" tint="-0.249977111117893"/>
      <name val="Aptos Narrow"/>
      <family val="2"/>
      <scheme val="minor"/>
    </font>
    <font>
      <b/>
      <sz val="12"/>
      <color rgb="FF00B050"/>
      <name val="Aptos Narrow"/>
      <family val="2"/>
      <scheme val="minor"/>
    </font>
    <font>
      <sz val="11"/>
      <color rgb="FF00B050"/>
      <name val="Aptos"/>
      <family val="2"/>
    </font>
    <font>
      <sz val="11"/>
      <color rgb="FF0070C0"/>
      <name val="Aptos"/>
      <family val="2"/>
    </font>
    <font>
      <b/>
      <i/>
      <sz val="11"/>
      <color theme="1" tint="0.499984740745262"/>
      <name val="Aptos"/>
      <family val="2"/>
    </font>
    <font>
      <b/>
      <sz val="12"/>
      <color theme="7" tint="-0.249977111117893"/>
      <name val="Aptos"/>
      <family val="2"/>
    </font>
    <font>
      <b/>
      <sz val="12"/>
      <color rgb="FF00B050"/>
      <name val="Aptos"/>
      <family val="2"/>
    </font>
    <font>
      <i/>
      <sz val="11"/>
      <color theme="1"/>
      <name val="Aptos"/>
      <family val="2"/>
    </font>
    <font>
      <b/>
      <sz val="12"/>
      <color theme="6"/>
      <name val="Aptos"/>
      <family val="2"/>
    </font>
    <font>
      <b/>
      <sz val="11"/>
      <color theme="1"/>
      <name val="Aptos Narrow"/>
      <family val="2"/>
      <scheme val="minor"/>
    </font>
  </fonts>
  <fills count="14">
    <fill>
      <patternFill patternType="none"/>
    </fill>
    <fill>
      <patternFill patternType="gray125"/>
    </fill>
    <fill>
      <patternFill patternType="solid">
        <fgColor theme="8"/>
        <bgColor indexed="64"/>
      </patternFill>
    </fill>
    <fill>
      <patternFill patternType="solid">
        <fgColor theme="2" tint="-9.9978637043366805E-2"/>
        <bgColor indexed="64"/>
      </patternFill>
    </fill>
    <fill>
      <patternFill patternType="solid">
        <fgColor theme="2" tint="-9.9978637043366805E-2"/>
        <bgColor theme="6" tint="0.79998168889431442"/>
      </patternFill>
    </fill>
    <fill>
      <patternFill patternType="solid">
        <fgColor rgb="FF163D32"/>
        <bgColor indexed="64"/>
      </patternFill>
    </fill>
    <fill>
      <patternFill patternType="solid">
        <fgColor rgb="FF3F725E"/>
        <bgColor indexed="64"/>
      </patternFill>
    </fill>
    <fill>
      <patternFill patternType="solid">
        <fgColor theme="0"/>
        <bgColor indexed="64"/>
      </patternFill>
    </fill>
    <fill>
      <patternFill patternType="solid">
        <fgColor rgb="FFEDF3F0"/>
        <bgColor indexed="64"/>
      </patternFill>
    </fill>
    <fill>
      <patternFill patternType="solid">
        <fgColor rgb="FF123F35"/>
        <bgColor indexed="64"/>
      </patternFill>
    </fill>
    <fill>
      <patternFill patternType="solid">
        <fgColor rgb="FF3F725E"/>
        <bgColor theme="7"/>
      </patternFill>
    </fill>
    <fill>
      <patternFill patternType="solid">
        <fgColor rgb="FFEDF3F0"/>
        <bgColor theme="7" tint="0.79998168889431442"/>
      </patternFill>
    </fill>
    <fill>
      <patternFill patternType="solid">
        <fgColor rgb="FF3F725E"/>
        <bgColor theme="6"/>
      </patternFill>
    </fill>
    <fill>
      <patternFill patternType="solid">
        <fgColor rgb="FFEDF3F0"/>
        <bgColor theme="6" tint="0.79998168889431442"/>
      </patternFill>
    </fill>
  </fills>
  <borders count="35">
    <border>
      <left/>
      <right/>
      <top/>
      <bottom/>
      <diagonal/>
    </border>
    <border>
      <left/>
      <right/>
      <top style="thin">
        <color theme="7" tint="0.39997558519241921"/>
      </top>
      <bottom style="thin">
        <color theme="7" tint="0.3999755851924192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6" tint="0.39997558519241921"/>
      </left>
      <right/>
      <top style="thin">
        <color theme="6" tint="0.39997558519241921"/>
      </top>
      <bottom style="thin">
        <color theme="6" tint="0.39997558519241921"/>
      </bottom>
      <diagonal/>
    </border>
    <border>
      <left style="thin">
        <color theme="6"/>
      </left>
      <right style="thin">
        <color theme="6"/>
      </right>
      <top style="thin">
        <color theme="6"/>
      </top>
      <bottom style="thin">
        <color theme="6"/>
      </bottom>
      <diagonal/>
    </border>
    <border>
      <left/>
      <right style="thin">
        <color indexed="64"/>
      </right>
      <top style="thin">
        <color indexed="64"/>
      </top>
      <bottom style="thin">
        <color indexed="64"/>
      </bottom>
      <diagonal/>
    </border>
    <border>
      <left style="thin">
        <color indexed="64"/>
      </left>
      <right style="thin">
        <color theme="6"/>
      </right>
      <top style="thin">
        <color theme="6"/>
      </top>
      <bottom style="thin">
        <color indexed="64"/>
      </bottom>
      <diagonal/>
    </border>
    <border>
      <left style="thin">
        <color theme="6"/>
      </left>
      <right style="thin">
        <color indexed="64"/>
      </right>
      <top style="thin">
        <color indexed="64"/>
      </top>
      <bottom style="thin">
        <color indexed="64"/>
      </bottom>
      <diagonal/>
    </border>
    <border>
      <left style="thin">
        <color indexed="64"/>
      </left>
      <right style="thin">
        <color theme="6"/>
      </right>
      <top style="thin">
        <color indexed="64"/>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rgb="FFEDF3F0"/>
      </left>
      <right style="thin">
        <color rgb="FFEDF3F0"/>
      </right>
      <top style="thin">
        <color rgb="FFEDF3F0"/>
      </top>
      <bottom/>
      <diagonal/>
    </border>
    <border>
      <left style="thin">
        <color rgb="FFEDF3F0"/>
      </left>
      <right style="thin">
        <color rgb="FFEDF3F0"/>
      </right>
      <top/>
      <bottom/>
      <diagonal/>
    </border>
    <border>
      <left style="thin">
        <color rgb="FFEDF3F0"/>
      </left>
      <right style="thin">
        <color rgb="FFEDF3F0"/>
      </right>
      <top/>
      <bottom style="thin">
        <color rgb="FFEDF3F0"/>
      </bottom>
      <diagonal/>
    </border>
    <border>
      <left style="thin">
        <color rgb="FFEDF3F0"/>
      </left>
      <right/>
      <top style="thin">
        <color rgb="FFEDF3F0"/>
      </top>
      <bottom/>
      <diagonal/>
    </border>
    <border>
      <left style="thin">
        <color rgb="FFEDF3F0"/>
      </left>
      <right/>
      <top/>
      <bottom/>
      <diagonal/>
    </border>
    <border>
      <left style="thin">
        <color rgb="FFEDF3F0"/>
      </left>
      <right/>
      <top/>
      <bottom style="thin">
        <color rgb="FFEDF3F0"/>
      </bottom>
      <diagonal/>
    </border>
    <border>
      <left style="thin">
        <color theme="2" tint="-9.9978637043366805E-2"/>
      </left>
      <right/>
      <top/>
      <bottom style="thin">
        <color theme="2" tint="-9.9978637043366805E-2"/>
      </bottom>
      <diagonal/>
    </border>
    <border>
      <left/>
      <right style="thin">
        <color rgb="FF3F725E"/>
      </right>
      <top/>
      <bottom/>
      <diagonal/>
    </border>
    <border>
      <left style="thin">
        <color rgb="FF3F725E"/>
      </left>
      <right/>
      <top style="thin">
        <color rgb="FF3F725E"/>
      </top>
      <bottom style="thin">
        <color rgb="FF3F725E"/>
      </bottom>
      <diagonal/>
    </border>
    <border>
      <left/>
      <right/>
      <top style="thin">
        <color rgb="FF3F725E"/>
      </top>
      <bottom style="thin">
        <color rgb="FF3F725E"/>
      </bottom>
      <diagonal/>
    </border>
    <border>
      <left/>
      <right style="thin">
        <color rgb="FF3F725E"/>
      </right>
      <top style="thin">
        <color rgb="FF3F725E"/>
      </top>
      <bottom style="thin">
        <color rgb="FF3F725E"/>
      </bottom>
      <diagonal/>
    </border>
    <border>
      <left style="thin">
        <color theme="2" tint="-9.9978637043366805E-2"/>
      </left>
      <right/>
      <top style="thin">
        <color theme="2" tint="-9.9978637043366805E-2"/>
      </top>
      <bottom/>
      <diagonal/>
    </border>
    <border>
      <left/>
      <right style="thin">
        <color theme="2" tint="-9.9978637043366805E-2"/>
      </right>
      <top style="thin">
        <color theme="2" tint="-9.9978637043366805E-2"/>
      </top>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right/>
      <top/>
      <bottom style="thin">
        <color theme="2" tint="-9.9978637043366805E-2"/>
      </bottom>
      <diagonal/>
    </border>
    <border>
      <left/>
      <right/>
      <top style="thin">
        <color theme="2" tint="-9.9978637043366805E-2"/>
      </top>
      <bottom style="thin">
        <color theme="2" tint="-9.9978637043366805E-2"/>
      </bottom>
      <diagonal/>
    </border>
    <border>
      <left style="thin">
        <color theme="2" tint="-9.9978637043366805E-2"/>
      </left>
      <right/>
      <top/>
      <bottom/>
      <diagonal/>
    </border>
    <border>
      <left/>
      <right style="thin">
        <color indexed="64"/>
      </right>
      <top/>
      <bottom/>
      <diagonal/>
    </border>
    <border>
      <left style="thin">
        <color indexed="64"/>
      </left>
      <right style="thin">
        <color indexed="64"/>
      </right>
      <top/>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44" fontId="1" fillId="0" borderId="0" applyFont="0" applyFill="0" applyBorder="0" applyAlignment="0" applyProtection="0"/>
  </cellStyleXfs>
  <cellXfs count="328">
    <xf numFmtId="0" fontId="0" fillId="0" borderId="0" xfId="0"/>
    <xf numFmtId="0" fontId="4" fillId="0" borderId="0" xfId="0" applyFont="1"/>
    <xf numFmtId="0" fontId="5" fillId="0" borderId="0" xfId="0" applyFont="1" applyAlignment="1">
      <alignment vertical="center"/>
    </xf>
    <xf numFmtId="0" fontId="4" fillId="0" borderId="0" xfId="0" applyFont="1" applyAlignment="1">
      <alignment horizontal="left" vertical="center" indent="1"/>
    </xf>
    <xf numFmtId="0" fontId="9" fillId="0" borderId="0" xfId="0" applyFont="1" applyAlignment="1">
      <alignment horizontal="center" vertical="center"/>
    </xf>
    <xf numFmtId="0" fontId="10" fillId="0" borderId="0" xfId="0" applyFont="1" applyAlignment="1">
      <alignment vertical="center"/>
    </xf>
    <xf numFmtId="0" fontId="10" fillId="0" borderId="0" xfId="0" applyFont="1" applyAlignment="1">
      <alignment horizontal="center" vertical="center"/>
    </xf>
    <xf numFmtId="0" fontId="6" fillId="0" borderId="0" xfId="0" applyFont="1" applyAlignment="1">
      <alignment vertical="center" wrapText="1"/>
    </xf>
    <xf numFmtId="0" fontId="16" fillId="0" borderId="0" xfId="0" applyFont="1" applyAlignment="1">
      <alignment vertical="center"/>
    </xf>
    <xf numFmtId="0" fontId="4" fillId="0" borderId="0" xfId="0" applyFont="1" applyAlignment="1">
      <alignment vertical="center" wrapText="1"/>
    </xf>
    <xf numFmtId="0" fontId="17" fillId="0" borderId="0" xfId="0" applyFont="1" applyAlignment="1">
      <alignment vertical="center"/>
    </xf>
    <xf numFmtId="0" fontId="4" fillId="0" borderId="0" xfId="0" applyFont="1" applyAlignment="1">
      <alignment wrapText="1"/>
    </xf>
    <xf numFmtId="0" fontId="13" fillId="0" borderId="0" xfId="0" applyFont="1" applyAlignment="1">
      <alignment wrapText="1"/>
    </xf>
    <xf numFmtId="0" fontId="18" fillId="6" borderId="11" xfId="0" applyFont="1" applyFill="1" applyBorder="1" applyAlignment="1">
      <alignment horizontal="center" vertical="center" wrapText="1"/>
    </xf>
    <xf numFmtId="0" fontId="19" fillId="6" borderId="12" xfId="0" applyFont="1" applyFill="1" applyBorder="1" applyAlignment="1">
      <alignment horizontal="center" vertical="center" wrapText="1"/>
    </xf>
    <xf numFmtId="0" fontId="19" fillId="6" borderId="19" xfId="0" applyFont="1" applyFill="1" applyBorder="1" applyAlignment="1">
      <alignment horizontal="center" vertical="center" wrapText="1"/>
    </xf>
    <xf numFmtId="0" fontId="4" fillId="0" borderId="20" xfId="0" applyFont="1" applyBorder="1"/>
    <xf numFmtId="0" fontId="21" fillId="0" borderId="0" xfId="0" applyFont="1" applyAlignment="1">
      <alignment horizontal="center" vertical="center" wrapText="1"/>
    </xf>
    <xf numFmtId="0" fontId="22" fillId="7" borderId="11" xfId="0" applyFont="1" applyFill="1" applyBorder="1" applyAlignment="1">
      <alignment horizontal="left" vertical="center" wrapText="1"/>
    </xf>
    <xf numFmtId="0" fontId="22" fillId="8" borderId="11" xfId="0" applyFont="1" applyFill="1" applyBorder="1" applyAlignment="1">
      <alignment horizontal="left" vertical="center" wrapText="1"/>
    </xf>
    <xf numFmtId="0" fontId="19" fillId="8" borderId="11" xfId="0" applyFont="1" applyFill="1" applyBorder="1" applyAlignment="1">
      <alignment horizontal="left" vertical="center" wrapText="1"/>
    </xf>
    <xf numFmtId="0" fontId="19" fillId="8" borderId="11" xfId="0" applyFont="1" applyFill="1" applyBorder="1" applyAlignment="1">
      <alignment horizontal="center" vertical="center" wrapText="1"/>
    </xf>
    <xf numFmtId="0" fontId="19" fillId="0" borderId="11" xfId="0" applyFont="1" applyBorder="1" applyAlignment="1">
      <alignment horizontal="left" vertical="center" wrapText="1"/>
    </xf>
    <xf numFmtId="0" fontId="19" fillId="0" borderId="11" xfId="0" applyFont="1" applyBorder="1" applyAlignment="1">
      <alignment horizontal="center" vertical="center" wrapText="1"/>
    </xf>
    <xf numFmtId="10" fontId="19" fillId="8" borderId="11" xfId="0" applyNumberFormat="1" applyFont="1" applyFill="1" applyBorder="1" applyAlignment="1">
      <alignment horizontal="center" vertical="center" wrapText="1"/>
    </xf>
    <xf numFmtId="10" fontId="19" fillId="0" borderId="11" xfId="0" applyNumberFormat="1" applyFont="1" applyBorder="1" applyAlignment="1">
      <alignment horizontal="center" vertical="center" wrapText="1"/>
    </xf>
    <xf numFmtId="0" fontId="19" fillId="8" borderId="11" xfId="0" applyFont="1" applyFill="1" applyBorder="1" applyAlignment="1">
      <alignment horizontal="center"/>
    </xf>
    <xf numFmtId="0" fontId="19" fillId="8" borderId="11" xfId="0" applyFont="1" applyFill="1" applyBorder="1" applyAlignment="1">
      <alignment vertical="center" wrapText="1"/>
    </xf>
    <xf numFmtId="0" fontId="19" fillId="0" borderId="11" xfId="0" applyFont="1" applyBorder="1" applyAlignment="1">
      <alignment vertical="center" wrapText="1"/>
    </xf>
    <xf numFmtId="0" fontId="21" fillId="0" borderId="0" xfId="0" applyFont="1" applyAlignment="1">
      <alignment vertical="center" wrapText="1"/>
    </xf>
    <xf numFmtId="0" fontId="9" fillId="0" borderId="0" xfId="0" applyFont="1" applyAlignment="1">
      <alignment vertical="center"/>
    </xf>
    <xf numFmtId="0" fontId="8" fillId="0" borderId="0" xfId="0" applyFont="1"/>
    <xf numFmtId="0" fontId="8" fillId="0" borderId="11" xfId="0" applyFont="1" applyBorder="1" applyAlignment="1">
      <alignment horizontal="center"/>
    </xf>
    <xf numFmtId="0" fontId="18" fillId="6" borderId="11" xfId="0" applyFont="1" applyFill="1" applyBorder="1" applyAlignment="1">
      <alignment horizontal="center"/>
    </xf>
    <xf numFmtId="0" fontId="4" fillId="0" borderId="11" xfId="0" applyFont="1" applyBorder="1"/>
    <xf numFmtId="0" fontId="4" fillId="8" borderId="11" xfId="0" applyFont="1" applyFill="1" applyBorder="1" applyAlignment="1">
      <alignment vertical="center"/>
    </xf>
    <xf numFmtId="0" fontId="4" fillId="8" borderId="11" xfId="0" applyFont="1" applyFill="1" applyBorder="1" applyAlignment="1">
      <alignment horizontal="center" vertical="center"/>
    </xf>
    <xf numFmtId="0" fontId="4" fillId="8" borderId="26" xfId="0" applyFont="1" applyFill="1" applyBorder="1"/>
    <xf numFmtId="0" fontId="4" fillId="0" borderId="11" xfId="0" applyFont="1" applyBorder="1" applyAlignment="1">
      <alignment vertical="center"/>
    </xf>
    <xf numFmtId="0" fontId="4" fillId="0" borderId="11" xfId="0" applyFont="1" applyBorder="1" applyAlignment="1">
      <alignment horizontal="center" vertical="center"/>
    </xf>
    <xf numFmtId="0" fontId="4" fillId="0" borderId="26" xfId="0" applyFont="1" applyBorder="1"/>
    <xf numFmtId="0" fontId="4" fillId="2" borderId="0" xfId="0" applyFont="1" applyFill="1"/>
    <xf numFmtId="0" fontId="4" fillId="0" borderId="0" xfId="0" applyFont="1" applyAlignment="1">
      <alignment horizontal="center" vertical="center"/>
    </xf>
    <xf numFmtId="0" fontId="25" fillId="0" borderId="0" xfId="0" applyFont="1" applyAlignment="1">
      <alignment wrapText="1"/>
    </xf>
    <xf numFmtId="0" fontId="6" fillId="0" borderId="0" xfId="0" applyFont="1" applyAlignment="1">
      <alignment horizontal="left"/>
    </xf>
    <xf numFmtId="0" fontId="6" fillId="0" borderId="0" xfId="0" applyFont="1" applyAlignment="1">
      <alignment horizontal="center" vertical="center" wrapText="1"/>
    </xf>
    <xf numFmtId="164" fontId="4" fillId="0" borderId="1" xfId="1" applyNumberFormat="1" applyFont="1" applyBorder="1" applyAlignment="1">
      <alignment horizontal="center" vertical="center"/>
    </xf>
    <xf numFmtId="0" fontId="4" fillId="0" borderId="1" xfId="0" applyFont="1" applyBorder="1" applyAlignment="1">
      <alignment horizontal="center" vertical="center"/>
    </xf>
    <xf numFmtId="0" fontId="27" fillId="0" borderId="0" xfId="0" applyFont="1"/>
    <xf numFmtId="0" fontId="28" fillId="0" borderId="2" xfId="0" applyFont="1" applyBorder="1" applyAlignment="1">
      <alignment horizontal="center"/>
    </xf>
    <xf numFmtId="165" fontId="28" fillId="0" borderId="2" xfId="1" applyNumberFormat="1" applyFont="1" applyFill="1" applyBorder="1"/>
    <xf numFmtId="10" fontId="28" fillId="0" borderId="3" xfId="1" applyNumberFormat="1" applyFont="1" applyBorder="1" applyAlignment="1">
      <alignment horizontal="right" vertical="center"/>
    </xf>
    <xf numFmtId="0" fontId="4" fillId="0" borderId="4" xfId="0" applyFont="1" applyBorder="1"/>
    <xf numFmtId="0" fontId="29" fillId="3" borderId="2" xfId="0" applyFont="1" applyFill="1" applyBorder="1"/>
    <xf numFmtId="9" fontId="29" fillId="3" borderId="2" xfId="0" applyNumberFormat="1" applyFont="1" applyFill="1" applyBorder="1"/>
    <xf numFmtId="166" fontId="29" fillId="3" borderId="2" xfId="0" applyNumberFormat="1" applyFont="1" applyFill="1" applyBorder="1"/>
    <xf numFmtId="166" fontId="29" fillId="3" borderId="2" xfId="3" applyNumberFormat="1" applyFont="1" applyFill="1" applyBorder="1"/>
    <xf numFmtId="10" fontId="29" fillId="3" borderId="3" xfId="1" applyNumberFormat="1" applyFont="1" applyFill="1" applyBorder="1"/>
    <xf numFmtId="0" fontId="29" fillId="0" borderId="2" xfId="0" applyFont="1" applyBorder="1"/>
    <xf numFmtId="9" fontId="29" fillId="0" borderId="2" xfId="0" applyNumberFormat="1" applyFont="1" applyBorder="1"/>
    <xf numFmtId="166" fontId="29" fillId="0" borderId="2" xfId="0" applyNumberFormat="1" applyFont="1" applyBorder="1"/>
    <xf numFmtId="166" fontId="29" fillId="0" borderId="2" xfId="3" applyNumberFormat="1" applyFont="1" applyBorder="1"/>
    <xf numFmtId="10" fontId="29" fillId="0" borderId="3" xfId="1" applyNumberFormat="1" applyFont="1" applyBorder="1"/>
    <xf numFmtId="165" fontId="6" fillId="0" borderId="8" xfId="1" applyNumberFormat="1" applyFont="1" applyFill="1" applyBorder="1"/>
    <xf numFmtId="10" fontId="6" fillId="0" borderId="7" xfId="1" applyNumberFormat="1" applyFont="1" applyFill="1" applyBorder="1" applyAlignment="1">
      <alignment horizontal="right" vertical="center"/>
    </xf>
    <xf numFmtId="0" fontId="4" fillId="4" borderId="5" xfId="0" applyFont="1" applyFill="1" applyBorder="1" applyAlignment="1">
      <alignment vertical="center" wrapText="1"/>
    </xf>
    <xf numFmtId="9" fontId="4" fillId="4" borderId="5" xfId="1" applyFont="1" applyFill="1" applyBorder="1" applyAlignment="1">
      <alignment vertical="center" wrapText="1"/>
    </xf>
    <xf numFmtId="166" fontId="4" fillId="4" borderId="5" xfId="0" applyNumberFormat="1" applyFont="1" applyFill="1" applyBorder="1" applyAlignment="1">
      <alignment vertical="center" wrapText="1"/>
    </xf>
    <xf numFmtId="10" fontId="4" fillId="4" borderId="5" xfId="1" applyNumberFormat="1" applyFont="1" applyFill="1" applyBorder="1" applyAlignment="1">
      <alignment vertical="center" wrapText="1"/>
    </xf>
    <xf numFmtId="0" fontId="29" fillId="0" borderId="3" xfId="0" applyFont="1" applyBorder="1"/>
    <xf numFmtId="9" fontId="29" fillId="0" borderId="9" xfId="0" applyNumberFormat="1" applyFont="1" applyBorder="1"/>
    <xf numFmtId="0" fontId="4" fillId="0" borderId="5" xfId="0" applyFont="1" applyBorder="1" applyAlignment="1">
      <alignment vertical="center" wrapText="1"/>
    </xf>
    <xf numFmtId="166" fontId="29" fillId="0" borderId="10" xfId="0" applyNumberFormat="1" applyFont="1" applyBorder="1"/>
    <xf numFmtId="10" fontId="29" fillId="0" borderId="7" xfId="1" applyNumberFormat="1" applyFont="1" applyFill="1" applyBorder="1"/>
    <xf numFmtId="0" fontId="28" fillId="0" borderId="6" xfId="0" applyFont="1" applyBorder="1" applyAlignment="1">
      <alignment horizontal="center" vertical="center" wrapText="1"/>
    </xf>
    <xf numFmtId="165" fontId="6" fillId="0" borderId="6" xfId="1" applyNumberFormat="1" applyFont="1" applyFill="1" applyBorder="1"/>
    <xf numFmtId="10" fontId="6" fillId="0" borderId="6" xfId="1" applyNumberFormat="1" applyFont="1" applyFill="1" applyBorder="1" applyAlignment="1">
      <alignment horizontal="right" vertical="center"/>
    </xf>
    <xf numFmtId="0" fontId="4" fillId="4" borderId="6" xfId="0" applyFont="1" applyFill="1" applyBorder="1" applyAlignment="1">
      <alignment vertical="center" wrapText="1"/>
    </xf>
    <xf numFmtId="9" fontId="4" fillId="4" borderId="6" xfId="1" applyFont="1" applyFill="1" applyBorder="1" applyAlignment="1">
      <alignment vertical="center" wrapText="1"/>
    </xf>
    <xf numFmtId="10" fontId="4" fillId="4" borderId="6" xfId="1" applyNumberFormat="1" applyFont="1" applyFill="1" applyBorder="1" applyAlignment="1">
      <alignment vertical="center" wrapText="1"/>
    </xf>
    <xf numFmtId="165" fontId="4" fillId="4" borderId="6" xfId="0" applyNumberFormat="1" applyFont="1" applyFill="1" applyBorder="1" applyAlignment="1">
      <alignment vertical="center" wrapText="1"/>
    </xf>
    <xf numFmtId="10" fontId="4" fillId="4" borderId="6" xfId="0" applyNumberFormat="1" applyFont="1" applyFill="1" applyBorder="1" applyAlignment="1">
      <alignment vertical="center" wrapText="1"/>
    </xf>
    <xf numFmtId="0" fontId="29" fillId="0" borderId="6" xfId="0" applyFont="1" applyBorder="1"/>
    <xf numFmtId="9" fontId="29" fillId="0" borderId="6" xfId="0" applyNumberFormat="1" applyFont="1" applyBorder="1"/>
    <xf numFmtId="10" fontId="4" fillId="0" borderId="6" xfId="1" applyNumberFormat="1" applyFont="1" applyFill="1" applyBorder="1" applyAlignment="1">
      <alignment vertical="center" wrapText="1"/>
    </xf>
    <xf numFmtId="165" fontId="4" fillId="0" borderId="6" xfId="0" applyNumberFormat="1" applyFont="1" applyBorder="1" applyAlignment="1">
      <alignment vertical="center" wrapText="1"/>
    </xf>
    <xf numFmtId="10" fontId="4" fillId="0" borderId="6" xfId="0" applyNumberFormat="1" applyFont="1" applyBorder="1" applyAlignment="1">
      <alignment vertical="center" wrapText="1"/>
    </xf>
    <xf numFmtId="10" fontId="4" fillId="0" borderId="6" xfId="1" applyNumberFormat="1" applyFont="1" applyBorder="1"/>
    <xf numFmtId="0" fontId="18" fillId="6" borderId="12" xfId="0" applyFont="1" applyFill="1" applyBorder="1" applyAlignment="1">
      <alignment horizontal="center"/>
    </xf>
    <xf numFmtId="0" fontId="18" fillId="6" borderId="27" xfId="0" applyFont="1" applyFill="1" applyBorder="1" applyAlignment="1">
      <alignment horizontal="center"/>
    </xf>
    <xf numFmtId="0" fontId="18" fillId="6" borderId="19" xfId="0" applyFont="1" applyFill="1" applyBorder="1" applyAlignment="1">
      <alignment horizontal="center"/>
    </xf>
    <xf numFmtId="0" fontId="4" fillId="8" borderId="26" xfId="0" applyFont="1" applyFill="1" applyBorder="1" applyAlignment="1">
      <alignment horizontal="left" vertical="center"/>
    </xf>
    <xf numFmtId="0" fontId="4" fillId="0" borderId="26" xfId="0" applyFont="1" applyBorder="1" applyAlignment="1">
      <alignment horizontal="left" vertical="center"/>
    </xf>
    <xf numFmtId="0" fontId="4" fillId="8" borderId="11" xfId="0" applyFont="1" applyFill="1" applyBorder="1"/>
    <xf numFmtId="10" fontId="4" fillId="0" borderId="11" xfId="1" applyNumberFormat="1" applyFont="1" applyBorder="1" applyAlignment="1">
      <alignment horizontal="center" vertical="center"/>
    </xf>
    <xf numFmtId="0" fontId="6" fillId="0" borderId="0" xfId="0" applyFont="1" applyAlignment="1">
      <alignment horizontal="center"/>
    </xf>
    <xf numFmtId="9" fontId="4" fillId="8" borderId="11" xfId="1" applyFont="1" applyFill="1" applyBorder="1" applyAlignment="1">
      <alignment horizontal="center"/>
    </xf>
    <xf numFmtId="0" fontId="4" fillId="8" borderId="11" xfId="0" applyFont="1" applyFill="1" applyBorder="1" applyAlignment="1">
      <alignment horizontal="center"/>
    </xf>
    <xf numFmtId="0" fontId="4" fillId="0" borderId="26" xfId="0" applyFont="1" applyBorder="1" applyAlignment="1">
      <alignment horizontal="left"/>
    </xf>
    <xf numFmtId="9" fontId="4" fillId="0" borderId="11" xfId="1" applyFont="1" applyBorder="1" applyAlignment="1">
      <alignment horizontal="center"/>
    </xf>
    <xf numFmtId="0" fontId="4" fillId="0" borderId="11" xfId="0" applyFont="1" applyBorder="1" applyAlignment="1">
      <alignment horizontal="center"/>
    </xf>
    <xf numFmtId="0" fontId="24" fillId="8" borderId="11" xfId="2" applyFont="1" applyFill="1" applyBorder="1" applyAlignment="1">
      <alignment vertical="center"/>
    </xf>
    <xf numFmtId="0" fontId="4" fillId="8" borderId="28" xfId="0" applyFont="1" applyFill="1" applyBorder="1" applyAlignment="1">
      <alignment vertical="center" wrapText="1"/>
    </xf>
    <xf numFmtId="0" fontId="4" fillId="0" borderId="28" xfId="0" applyFont="1" applyBorder="1" applyAlignment="1">
      <alignment vertical="center" wrapText="1"/>
    </xf>
    <xf numFmtId="0" fontId="24" fillId="0" borderId="11" xfId="2" applyFont="1" applyBorder="1" applyAlignment="1">
      <alignment vertical="center"/>
    </xf>
    <xf numFmtId="0" fontId="4" fillId="0" borderId="0" xfId="0" applyFont="1" applyAlignment="1">
      <alignment vertical="center"/>
    </xf>
    <xf numFmtId="0" fontId="4" fillId="8" borderId="11" xfId="0" applyFont="1" applyFill="1" applyBorder="1" applyAlignment="1">
      <alignment horizontal="left" vertical="center"/>
    </xf>
    <xf numFmtId="0" fontId="4" fillId="0" borderId="11" xfId="0" applyFont="1" applyBorder="1" applyAlignment="1">
      <alignment horizontal="left" vertical="center"/>
    </xf>
    <xf numFmtId="0" fontId="24" fillId="8" borderId="11" xfId="2" applyFont="1" applyFill="1" applyBorder="1" applyAlignment="1">
      <alignment horizontal="left" vertical="center" wrapText="1"/>
    </xf>
    <xf numFmtId="0" fontId="24" fillId="0" borderId="11" xfId="2" applyFont="1" applyBorder="1" applyAlignment="1">
      <alignment horizontal="left" vertical="center"/>
    </xf>
    <xf numFmtId="0" fontId="4" fillId="0" borderId="26" xfId="0" applyFont="1" applyBorder="1" applyAlignment="1">
      <alignment horizontal="left" vertical="center" wrapText="1"/>
    </xf>
    <xf numFmtId="0" fontId="24" fillId="8" borderId="11" xfId="2" applyFont="1" applyFill="1" applyBorder="1" applyAlignment="1">
      <alignment horizontal="left" vertical="center"/>
    </xf>
    <xf numFmtId="0" fontId="4" fillId="8" borderId="26" xfId="0" applyFont="1" applyFill="1" applyBorder="1" applyAlignment="1">
      <alignment vertical="center" wrapText="1"/>
    </xf>
    <xf numFmtId="0" fontId="24" fillId="0" borderId="11" xfId="2" applyFont="1" applyBorder="1" applyAlignment="1">
      <alignment vertical="center" wrapText="1"/>
    </xf>
    <xf numFmtId="0" fontId="4" fillId="0" borderId="26" xfId="0" applyFont="1" applyBorder="1" applyAlignment="1">
      <alignment vertical="center" wrapText="1"/>
    </xf>
    <xf numFmtId="0" fontId="8" fillId="0" borderId="31" xfId="0" applyFont="1" applyBorder="1" applyAlignment="1">
      <alignment horizontal="center"/>
    </xf>
    <xf numFmtId="0" fontId="8" fillId="0" borderId="0" xfId="0" applyFont="1" applyAlignment="1">
      <alignment horizontal="center"/>
    </xf>
    <xf numFmtId="0" fontId="4" fillId="0" borderId="11" xfId="0" applyFont="1" applyBorder="1" applyAlignment="1">
      <alignment horizontal="left" vertical="center" wrapText="1"/>
    </xf>
    <xf numFmtId="0" fontId="4" fillId="8" borderId="11" xfId="0" applyFont="1" applyFill="1" applyBorder="1" applyAlignment="1">
      <alignment vertical="center" wrapText="1"/>
    </xf>
    <xf numFmtId="0" fontId="4" fillId="0" borderId="11" xfId="0" applyFont="1" applyBorder="1" applyAlignment="1">
      <alignment vertical="center" wrapText="1"/>
    </xf>
    <xf numFmtId="0" fontId="30" fillId="8" borderId="11" xfId="0" applyFont="1" applyFill="1" applyBorder="1" applyAlignment="1">
      <alignment horizontal="center" vertical="center"/>
    </xf>
    <xf numFmtId="0" fontId="30" fillId="0" borderId="11" xfId="0" applyFont="1" applyBorder="1" applyAlignment="1">
      <alignment horizontal="center" vertical="center"/>
    </xf>
    <xf numFmtId="164" fontId="30" fillId="8" borderId="11" xfId="1" applyNumberFormat="1" applyFont="1" applyFill="1" applyBorder="1" applyAlignment="1">
      <alignment horizontal="center" vertical="center"/>
    </xf>
    <xf numFmtId="164" fontId="30" fillId="0" borderId="11" xfId="1" applyNumberFormat="1" applyFont="1" applyBorder="1" applyAlignment="1">
      <alignment horizontal="center" vertical="center"/>
    </xf>
    <xf numFmtId="9" fontId="30" fillId="0" borderId="11" xfId="1" applyFont="1" applyBorder="1" applyAlignment="1">
      <alignment horizontal="center" vertical="center"/>
    </xf>
    <xf numFmtId="9" fontId="30" fillId="8" borderId="11" xfId="0" applyNumberFormat="1" applyFont="1" applyFill="1" applyBorder="1" applyAlignment="1">
      <alignment horizontal="center" vertical="center"/>
    </xf>
    <xf numFmtId="9" fontId="30" fillId="8" borderId="11" xfId="1" applyFont="1" applyFill="1" applyBorder="1" applyAlignment="1">
      <alignment horizontal="center" vertical="center"/>
    </xf>
    <xf numFmtId="0" fontId="4" fillId="8" borderId="29" xfId="0" applyFont="1" applyFill="1" applyBorder="1" applyAlignment="1">
      <alignment horizontal="center" vertical="center"/>
    </xf>
    <xf numFmtId="9" fontId="4" fillId="0" borderId="0" xfId="0" applyNumberFormat="1" applyFont="1" applyAlignment="1">
      <alignment horizontal="center" vertical="center"/>
    </xf>
    <xf numFmtId="0" fontId="4" fillId="0" borderId="0" xfId="0" applyFont="1" applyAlignment="1">
      <alignment horizontal="left" vertical="top"/>
    </xf>
    <xf numFmtId="10" fontId="29" fillId="8" borderId="11" xfId="1" applyNumberFormat="1" applyFont="1" applyFill="1" applyBorder="1" applyAlignment="1">
      <alignment horizontal="center" vertical="center"/>
    </xf>
    <xf numFmtId="0" fontId="4" fillId="0" borderId="0" xfId="0" applyFont="1" applyAlignment="1">
      <alignment horizontal="center"/>
    </xf>
    <xf numFmtId="0" fontId="31" fillId="0" borderId="0" xfId="0" applyFont="1" applyAlignment="1">
      <alignment horizontal="center"/>
    </xf>
    <xf numFmtId="3" fontId="4" fillId="0" borderId="0" xfId="0" applyNumberFormat="1" applyFont="1"/>
    <xf numFmtId="9" fontId="4" fillId="0" borderId="0" xfId="1" applyFont="1"/>
    <xf numFmtId="0" fontId="19" fillId="0" borderId="0" xfId="0" applyFont="1" applyAlignment="1">
      <alignment horizontal="left"/>
    </xf>
    <xf numFmtId="3" fontId="4" fillId="8" borderId="11" xfId="0" applyNumberFormat="1" applyFont="1" applyFill="1" applyBorder="1" applyAlignment="1">
      <alignment horizontal="center"/>
    </xf>
    <xf numFmtId="0" fontId="18" fillId="6" borderId="12" xfId="0" applyFont="1" applyFill="1" applyBorder="1" applyAlignment="1">
      <alignment horizontal="left"/>
    </xf>
    <xf numFmtId="0" fontId="4" fillId="8" borderId="28" xfId="0" applyFont="1" applyFill="1" applyBorder="1"/>
    <xf numFmtId="3" fontId="4" fillId="0" borderId="26" xfId="0" applyNumberFormat="1" applyFont="1" applyBorder="1"/>
    <xf numFmtId="3" fontId="4" fillId="0" borderId="11" xfId="0" applyNumberFormat="1" applyFont="1" applyBorder="1" applyAlignment="1">
      <alignment horizontal="center"/>
    </xf>
    <xf numFmtId="3" fontId="4" fillId="0" borderId="11" xfId="0" applyNumberFormat="1" applyFont="1" applyBorder="1"/>
    <xf numFmtId="3" fontId="4" fillId="0" borderId="28" xfId="0" applyNumberFormat="1" applyFont="1" applyBorder="1"/>
    <xf numFmtId="9" fontId="4" fillId="8" borderId="26" xfId="1" applyFont="1" applyFill="1" applyBorder="1"/>
    <xf numFmtId="9" fontId="4" fillId="0" borderId="26" xfId="1" applyFont="1" applyBorder="1"/>
    <xf numFmtId="9" fontId="4" fillId="0" borderId="11" xfId="1" applyFont="1" applyFill="1" applyBorder="1"/>
    <xf numFmtId="3" fontId="6" fillId="8" borderId="25" xfId="0" applyNumberFormat="1" applyFont="1" applyFill="1" applyBorder="1"/>
    <xf numFmtId="3" fontId="4" fillId="8" borderId="29" xfId="0" applyNumberFormat="1" applyFont="1" applyFill="1" applyBorder="1" applyAlignment="1">
      <alignment horizontal="center"/>
    </xf>
    <xf numFmtId="3" fontId="4" fillId="8" borderId="29" xfId="0" applyNumberFormat="1" applyFont="1" applyFill="1" applyBorder="1"/>
    <xf numFmtId="3" fontId="4" fillId="8" borderId="24" xfId="0" applyNumberFormat="1" applyFont="1" applyFill="1" applyBorder="1"/>
    <xf numFmtId="0" fontId="31" fillId="0" borderId="0" xfId="0" applyFont="1"/>
    <xf numFmtId="3" fontId="30" fillId="0" borderId="11" xfId="0" applyNumberFormat="1" applyFont="1" applyBorder="1"/>
    <xf numFmtId="3" fontId="30" fillId="0" borderId="28" xfId="0" applyNumberFormat="1" applyFont="1" applyBorder="1"/>
    <xf numFmtId="0" fontId="34" fillId="8" borderId="11" xfId="0" applyFont="1" applyFill="1" applyBorder="1"/>
    <xf numFmtId="0" fontId="34" fillId="8" borderId="28" xfId="0" applyFont="1" applyFill="1" applyBorder="1"/>
    <xf numFmtId="164" fontId="34" fillId="8" borderId="11" xfId="1" applyNumberFormat="1" applyFont="1" applyFill="1" applyBorder="1"/>
    <xf numFmtId="164" fontId="34" fillId="8" borderId="28" xfId="1" applyNumberFormat="1" applyFont="1" applyFill="1" applyBorder="1"/>
    <xf numFmtId="9" fontId="34" fillId="0" borderId="11" xfId="1" applyFont="1" applyBorder="1"/>
    <xf numFmtId="9" fontId="34" fillId="0" borderId="28" xfId="1" applyFont="1" applyBorder="1"/>
    <xf numFmtId="9" fontId="30" fillId="8" borderId="11" xfId="1" applyFont="1" applyFill="1" applyBorder="1"/>
    <xf numFmtId="9" fontId="30" fillId="0" borderId="11" xfId="1" applyFont="1" applyFill="1" applyBorder="1"/>
    <xf numFmtId="0" fontId="19" fillId="6" borderId="27" xfId="0" applyFont="1" applyFill="1" applyBorder="1" applyAlignment="1">
      <alignment horizontal="center"/>
    </xf>
    <xf numFmtId="0" fontId="19" fillId="6" borderId="19" xfId="0" applyFont="1" applyFill="1" applyBorder="1" applyAlignment="1">
      <alignment horizontal="center"/>
    </xf>
    <xf numFmtId="0" fontId="4" fillId="8" borderId="29" xfId="0" applyFont="1" applyFill="1" applyBorder="1" applyAlignment="1">
      <alignment horizontal="center"/>
    </xf>
    <xf numFmtId="165" fontId="4" fillId="8" borderId="29" xfId="1" applyNumberFormat="1" applyFont="1" applyFill="1" applyBorder="1"/>
    <xf numFmtId="165" fontId="4" fillId="8" borderId="24" xfId="1" applyNumberFormat="1" applyFont="1" applyFill="1" applyBorder="1"/>
    <xf numFmtId="10" fontId="4" fillId="0" borderId="0" xfId="1" applyNumberFormat="1" applyFont="1"/>
    <xf numFmtId="0" fontId="25" fillId="0" borderId="0" xfId="0" applyFont="1" applyAlignment="1">
      <alignment vertical="top" wrapText="1"/>
    </xf>
    <xf numFmtId="3" fontId="34" fillId="8" borderId="11" xfId="0" applyNumberFormat="1" applyFont="1" applyFill="1" applyBorder="1"/>
    <xf numFmtId="3" fontId="34" fillId="8" borderId="28" xfId="0" applyNumberFormat="1" applyFont="1" applyFill="1" applyBorder="1"/>
    <xf numFmtId="3" fontId="34" fillId="0" borderId="11" xfId="0" applyNumberFormat="1" applyFont="1" applyBorder="1"/>
    <xf numFmtId="4" fontId="34" fillId="0" borderId="11" xfId="0" applyNumberFormat="1" applyFont="1" applyBorder="1"/>
    <xf numFmtId="4" fontId="34" fillId="0" borderId="28" xfId="0" applyNumberFormat="1" applyFont="1" applyBorder="1"/>
    <xf numFmtId="0" fontId="6" fillId="8" borderId="25" xfId="0" applyFont="1" applyFill="1" applyBorder="1"/>
    <xf numFmtId="0" fontId="19" fillId="0" borderId="0" xfId="0" applyFont="1"/>
    <xf numFmtId="0" fontId="4" fillId="11" borderId="26" xfId="0" applyFont="1" applyFill="1" applyBorder="1"/>
    <xf numFmtId="165" fontId="4" fillId="8" borderId="11" xfId="1" applyNumberFormat="1" applyFont="1" applyFill="1" applyBorder="1"/>
    <xf numFmtId="165" fontId="4" fillId="8" borderId="28" xfId="1" applyNumberFormat="1" applyFont="1" applyFill="1" applyBorder="1"/>
    <xf numFmtId="165" fontId="4" fillId="0" borderId="11" xfId="1" applyNumberFormat="1" applyFont="1" applyFill="1" applyBorder="1"/>
    <xf numFmtId="165" fontId="4" fillId="0" borderId="28" xfId="1" applyNumberFormat="1" applyFont="1" applyFill="1" applyBorder="1"/>
    <xf numFmtId="165" fontId="30" fillId="0" borderId="11" xfId="1" applyNumberFormat="1" applyFont="1" applyFill="1" applyBorder="1"/>
    <xf numFmtId="165" fontId="34" fillId="8" borderId="11" xfId="1" applyNumberFormat="1" applyFont="1" applyFill="1" applyBorder="1"/>
    <xf numFmtId="165" fontId="34" fillId="8" borderId="28" xfId="1" applyNumberFormat="1" applyFont="1" applyFill="1" applyBorder="1"/>
    <xf numFmtId="0" fontId="4" fillId="0" borderId="0" xfId="0" applyFont="1" applyAlignment="1">
      <alignment horizontal="center" vertical="top"/>
    </xf>
    <xf numFmtId="0" fontId="23" fillId="10" borderId="12" xfId="0" applyFont="1" applyFill="1" applyBorder="1" applyAlignment="1">
      <alignment horizontal="left" vertical="top"/>
    </xf>
    <xf numFmtId="0" fontId="23" fillId="10" borderId="27" xfId="0" applyFont="1" applyFill="1" applyBorder="1" applyAlignment="1">
      <alignment horizontal="left" vertical="top"/>
    </xf>
    <xf numFmtId="0" fontId="23" fillId="10" borderId="19" xfId="0" applyFont="1" applyFill="1" applyBorder="1" applyAlignment="1">
      <alignment horizontal="left" vertical="top"/>
    </xf>
    <xf numFmtId="0" fontId="23" fillId="10" borderId="12" xfId="0" applyFont="1" applyFill="1" applyBorder="1" applyAlignment="1">
      <alignment horizontal="center" vertical="top"/>
    </xf>
    <xf numFmtId="0" fontId="23" fillId="10" borderId="27" xfId="0" applyFont="1" applyFill="1" applyBorder="1" applyAlignment="1">
      <alignment horizontal="center" vertical="top"/>
    </xf>
    <xf numFmtId="0" fontId="23" fillId="10" borderId="19" xfId="0" applyFont="1" applyFill="1" applyBorder="1" applyAlignment="1">
      <alignment horizontal="center" vertical="top"/>
    </xf>
    <xf numFmtId="3" fontId="4" fillId="0" borderId="11" xfId="1" applyNumberFormat="1" applyFont="1" applyFill="1" applyBorder="1"/>
    <xf numFmtId="9" fontId="4" fillId="0" borderId="28" xfId="1" applyFont="1" applyFill="1" applyBorder="1"/>
    <xf numFmtId="165" fontId="4" fillId="0" borderId="11" xfId="0" applyNumberFormat="1" applyFont="1" applyBorder="1"/>
    <xf numFmtId="165" fontId="4" fillId="0" borderId="28" xfId="0" applyNumberFormat="1" applyFont="1" applyBorder="1"/>
    <xf numFmtId="165" fontId="4" fillId="8" borderId="29" xfId="0" applyNumberFormat="1" applyFont="1" applyFill="1" applyBorder="1"/>
    <xf numFmtId="165" fontId="35" fillId="8" borderId="11" xfId="1" applyNumberFormat="1" applyFont="1" applyFill="1" applyBorder="1"/>
    <xf numFmtId="165" fontId="35" fillId="8" borderId="28" xfId="1" applyNumberFormat="1" applyFont="1" applyFill="1" applyBorder="1"/>
    <xf numFmtId="3" fontId="34" fillId="0" borderId="11" xfId="1" applyNumberFormat="1" applyFont="1" applyFill="1" applyBorder="1"/>
    <xf numFmtId="165" fontId="35" fillId="8" borderId="11" xfId="1" applyNumberFormat="1" applyFont="1" applyFill="1" applyBorder="1" applyAlignment="1">
      <alignment horizontal="center"/>
    </xf>
    <xf numFmtId="9" fontId="35" fillId="0" borderId="11" xfId="1" applyFont="1" applyFill="1" applyBorder="1" applyAlignment="1">
      <alignment horizontal="right"/>
    </xf>
    <xf numFmtId="165" fontId="35" fillId="8" borderId="11" xfId="0" applyNumberFormat="1" applyFont="1" applyFill="1" applyBorder="1"/>
    <xf numFmtId="0" fontId="36" fillId="0" borderId="0" xfId="0" applyFont="1" applyAlignment="1">
      <alignment vertical="top" wrapText="1"/>
    </xf>
    <xf numFmtId="0" fontId="6" fillId="0" borderId="0" xfId="0" applyFont="1" applyAlignment="1">
      <alignment horizontal="left" vertical="center" indent="1"/>
    </xf>
    <xf numFmtId="0" fontId="18" fillId="6" borderId="12" xfId="0" applyFont="1" applyFill="1" applyBorder="1" applyAlignment="1">
      <alignment horizontal="center" vertical="center" wrapText="1"/>
    </xf>
    <xf numFmtId="0" fontId="18" fillId="6" borderId="27" xfId="0" applyFont="1" applyFill="1" applyBorder="1" applyAlignment="1">
      <alignment horizontal="center" vertical="center" wrapText="1"/>
    </xf>
    <xf numFmtId="0" fontId="18" fillId="10" borderId="27" xfId="0" applyFont="1" applyFill="1" applyBorder="1" applyAlignment="1">
      <alignment horizontal="center" vertical="center" wrapText="1"/>
    </xf>
    <xf numFmtId="0" fontId="18" fillId="10" borderId="19" xfId="0" applyFont="1" applyFill="1" applyBorder="1" applyAlignment="1">
      <alignment horizontal="center" vertical="center" wrapText="1"/>
    </xf>
    <xf numFmtId="0" fontId="4" fillId="8" borderId="11" xfId="0" applyFont="1" applyFill="1" applyBorder="1" applyAlignment="1">
      <alignment horizontal="center" vertical="center" wrapText="1"/>
    </xf>
    <xf numFmtId="0" fontId="4" fillId="0" borderId="11" xfId="0" applyFont="1" applyBorder="1" applyAlignment="1">
      <alignment horizontal="center" vertical="center" wrapText="1"/>
    </xf>
    <xf numFmtId="165" fontId="4" fillId="0" borderId="11" xfId="1" applyNumberFormat="1" applyFont="1" applyFill="1" applyBorder="1" applyAlignment="1">
      <alignment horizontal="right"/>
    </xf>
    <xf numFmtId="165" fontId="4" fillId="0" borderId="28" xfId="1" applyNumberFormat="1" applyFont="1" applyFill="1" applyBorder="1" applyAlignment="1">
      <alignment horizontal="right"/>
    </xf>
    <xf numFmtId="0" fontId="6" fillId="0" borderId="25" xfId="0" applyFont="1" applyBorder="1" applyAlignment="1">
      <alignment vertical="center" wrapText="1"/>
    </xf>
    <xf numFmtId="0" fontId="4" fillId="0" borderId="29" xfId="0" applyFont="1" applyBorder="1" applyAlignment="1">
      <alignment horizontal="center" vertical="center" wrapText="1"/>
    </xf>
    <xf numFmtId="165" fontId="4" fillId="0" borderId="29" xfId="1" applyNumberFormat="1" applyFont="1" applyFill="1" applyBorder="1"/>
    <xf numFmtId="165" fontId="4" fillId="0" borderId="24" xfId="1" applyNumberFormat="1" applyFont="1" applyFill="1" applyBorder="1"/>
    <xf numFmtId="165" fontId="34" fillId="0" borderId="11" xfId="1" applyNumberFormat="1" applyFont="1" applyFill="1" applyBorder="1"/>
    <xf numFmtId="165" fontId="34" fillId="0" borderId="28" xfId="1" applyNumberFormat="1" applyFont="1" applyFill="1" applyBorder="1"/>
    <xf numFmtId="9" fontId="35" fillId="8" borderId="11" xfId="0" applyNumberFormat="1" applyFont="1" applyFill="1" applyBorder="1" applyAlignment="1">
      <alignment horizontal="right" vertical="center" wrapText="1"/>
    </xf>
    <xf numFmtId="10" fontId="34" fillId="8" borderId="11" xfId="0" applyNumberFormat="1" applyFont="1" applyFill="1" applyBorder="1" applyAlignment="1">
      <alignment vertical="center" wrapText="1"/>
    </xf>
    <xf numFmtId="10" fontId="34" fillId="8" borderId="28" xfId="0" applyNumberFormat="1" applyFont="1" applyFill="1" applyBorder="1" applyAlignment="1">
      <alignment vertical="center" wrapText="1"/>
    </xf>
    <xf numFmtId="3" fontId="4" fillId="0" borderId="11" xfId="0" applyNumberFormat="1" applyFont="1" applyBorder="1" applyAlignment="1">
      <alignment vertical="center" wrapText="1"/>
    </xf>
    <xf numFmtId="0" fontId="6" fillId="8" borderId="26" xfId="0" applyFont="1" applyFill="1" applyBorder="1" applyAlignment="1">
      <alignment horizontal="left" vertical="center" wrapText="1"/>
    </xf>
    <xf numFmtId="165" fontId="4" fillId="8" borderId="11" xfId="1" applyNumberFormat="1" applyFont="1" applyFill="1" applyBorder="1" applyAlignment="1">
      <alignment horizontal="right" vertical="center"/>
    </xf>
    <xf numFmtId="165" fontId="4" fillId="8" borderId="28" xfId="1" applyNumberFormat="1" applyFont="1" applyFill="1" applyBorder="1" applyAlignment="1">
      <alignment horizontal="right" vertical="center"/>
    </xf>
    <xf numFmtId="0" fontId="4" fillId="0" borderId="0" xfId="0" applyFont="1" applyAlignment="1">
      <alignment horizontal="right" vertical="center"/>
    </xf>
    <xf numFmtId="165" fontId="6" fillId="0" borderId="24" xfId="1" applyNumberFormat="1" applyFont="1" applyFill="1" applyBorder="1"/>
    <xf numFmtId="0" fontId="39" fillId="0" borderId="0" xfId="0" applyFont="1" applyAlignment="1">
      <alignment vertical="center" wrapText="1"/>
    </xf>
    <xf numFmtId="0" fontId="23" fillId="6" borderId="12" xfId="0" applyFont="1" applyFill="1" applyBorder="1" applyAlignment="1">
      <alignment horizontal="center" vertical="center" wrapText="1"/>
    </xf>
    <xf numFmtId="0" fontId="23" fillId="6" borderId="27" xfId="0" applyFont="1" applyFill="1" applyBorder="1" applyAlignment="1">
      <alignment horizontal="center" vertical="center" wrapText="1"/>
    </xf>
    <xf numFmtId="0" fontId="23" fillId="6" borderId="19" xfId="0" applyFont="1" applyFill="1" applyBorder="1" applyAlignment="1">
      <alignment horizontal="center" vertical="center" wrapText="1"/>
    </xf>
    <xf numFmtId="0" fontId="4" fillId="0" borderId="25" xfId="0" applyFont="1" applyBorder="1" applyAlignment="1">
      <alignment vertical="center" wrapText="1"/>
    </xf>
    <xf numFmtId="4" fontId="4" fillId="0" borderId="24" xfId="0" applyNumberFormat="1" applyFont="1" applyBorder="1"/>
    <xf numFmtId="0" fontId="19" fillId="0" borderId="0" xfId="0" applyFont="1" applyAlignment="1">
      <alignment horizontal="center"/>
    </xf>
    <xf numFmtId="165" fontId="34" fillId="8" borderId="11" xfId="1" applyNumberFormat="1" applyFont="1" applyFill="1" applyBorder="1" applyAlignment="1">
      <alignment horizontal="center"/>
    </xf>
    <xf numFmtId="0" fontId="4" fillId="11" borderId="11" xfId="0" applyFont="1" applyFill="1" applyBorder="1"/>
    <xf numFmtId="165" fontId="4" fillId="11" borderId="11" xfId="0" applyNumberFormat="1" applyFont="1" applyFill="1" applyBorder="1"/>
    <xf numFmtId="0" fontId="4" fillId="11" borderId="28" xfId="0" applyFont="1" applyFill="1" applyBorder="1"/>
    <xf numFmtId="165" fontId="4" fillId="0" borderId="11" xfId="1" applyNumberFormat="1" applyFont="1" applyFill="1" applyBorder="1" applyAlignment="1">
      <alignment horizontal="center"/>
    </xf>
    <xf numFmtId="10" fontId="35" fillId="0" borderId="11" xfId="1" applyNumberFormat="1" applyFont="1" applyFill="1" applyBorder="1" applyAlignment="1">
      <alignment horizontal="center"/>
    </xf>
    <xf numFmtId="0" fontId="35" fillId="8" borderId="11" xfId="1" applyNumberFormat="1" applyFont="1" applyFill="1" applyBorder="1" applyAlignment="1">
      <alignment horizontal="center"/>
    </xf>
    <xf numFmtId="165" fontId="35" fillId="0" borderId="11" xfId="1" applyNumberFormat="1" applyFont="1" applyFill="1" applyBorder="1" applyAlignment="1">
      <alignment horizontal="center"/>
    </xf>
    <xf numFmtId="0" fontId="6" fillId="0" borderId="26" xfId="0" applyFont="1" applyBorder="1"/>
    <xf numFmtId="165" fontId="35" fillId="8" borderId="29" xfId="1" applyNumberFormat="1" applyFont="1" applyFill="1" applyBorder="1" applyAlignment="1">
      <alignment horizontal="center"/>
    </xf>
    <xf numFmtId="0" fontId="19" fillId="6" borderId="27" xfId="0" applyFont="1" applyFill="1" applyBorder="1" applyAlignment="1">
      <alignment horizontal="center" vertical="center" wrapText="1"/>
    </xf>
    <xf numFmtId="0" fontId="4" fillId="0" borderId="28" xfId="0" applyFont="1" applyBorder="1"/>
    <xf numFmtId="0" fontId="4" fillId="8" borderId="25" xfId="0" applyFont="1" applyFill="1" applyBorder="1" applyAlignment="1">
      <alignment vertical="center" wrapText="1"/>
    </xf>
    <xf numFmtId="164" fontId="4" fillId="8" borderId="29" xfId="1" applyNumberFormat="1" applyFont="1" applyFill="1" applyBorder="1" applyAlignment="1">
      <alignment horizontal="center" vertical="center"/>
    </xf>
    <xf numFmtId="0" fontId="4" fillId="8" borderId="29" xfId="0" applyFont="1" applyFill="1" applyBorder="1" applyAlignment="1">
      <alignment vertical="center" wrapText="1"/>
    </xf>
    <xf numFmtId="10" fontId="4" fillId="8" borderId="29" xfId="1" applyNumberFormat="1" applyFont="1" applyFill="1" applyBorder="1"/>
    <xf numFmtId="10" fontId="4" fillId="8" borderId="24" xfId="1" applyNumberFormat="1" applyFont="1" applyFill="1" applyBorder="1"/>
    <xf numFmtId="0" fontId="40" fillId="0" borderId="0" xfId="0" applyFont="1"/>
    <xf numFmtId="0" fontId="23" fillId="12" borderId="11" xfId="0" applyFont="1" applyFill="1" applyBorder="1" applyAlignment="1">
      <alignment horizontal="center" vertical="center" wrapText="1"/>
    </xf>
    <xf numFmtId="165" fontId="6" fillId="0" borderId="11" xfId="1" applyNumberFormat="1" applyFont="1" applyFill="1" applyBorder="1"/>
    <xf numFmtId="10" fontId="6" fillId="0" borderId="11" xfId="1" applyNumberFormat="1" applyFont="1" applyFill="1" applyBorder="1" applyAlignment="1">
      <alignment horizontal="right" vertical="center"/>
    </xf>
    <xf numFmtId="0" fontId="4" fillId="13" borderId="11" xfId="0" applyFont="1" applyFill="1" applyBorder="1" applyAlignment="1">
      <alignment vertical="center" wrapText="1"/>
    </xf>
    <xf numFmtId="9" fontId="4" fillId="13" borderId="11" xfId="1" applyFont="1" applyFill="1" applyBorder="1" applyAlignment="1">
      <alignment vertical="center" wrapText="1"/>
    </xf>
    <xf numFmtId="165" fontId="4" fillId="13" borderId="11" xfId="0" applyNumberFormat="1" applyFont="1" applyFill="1" applyBorder="1" applyAlignment="1">
      <alignment vertical="center" wrapText="1"/>
    </xf>
    <xf numFmtId="10" fontId="4" fillId="13" borderId="11" xfId="1" applyNumberFormat="1" applyFont="1" applyFill="1" applyBorder="1" applyAlignment="1">
      <alignment vertical="center" wrapText="1"/>
    </xf>
    <xf numFmtId="0" fontId="29" fillId="0" borderId="11" xfId="0" applyFont="1" applyBorder="1"/>
    <xf numFmtId="9" fontId="29" fillId="0" borderId="11" xfId="0" applyNumberFormat="1" applyFont="1" applyBorder="1"/>
    <xf numFmtId="165" fontId="4" fillId="0" borderId="11" xfId="0" applyNumberFormat="1" applyFont="1" applyBorder="1" applyAlignment="1">
      <alignment vertical="center" wrapText="1"/>
    </xf>
    <xf numFmtId="10" fontId="29" fillId="0" borderId="11" xfId="0" applyNumberFormat="1" applyFont="1" applyBorder="1"/>
    <xf numFmtId="10" fontId="4" fillId="13" borderId="11" xfId="0" applyNumberFormat="1" applyFont="1" applyFill="1" applyBorder="1" applyAlignment="1">
      <alignment vertical="center" wrapText="1"/>
    </xf>
    <xf numFmtId="10" fontId="4" fillId="0" borderId="11" xfId="0" applyNumberFormat="1" applyFont="1" applyBorder="1" applyAlignment="1">
      <alignment vertical="center" wrapText="1"/>
    </xf>
    <xf numFmtId="10" fontId="4" fillId="0" borderId="11" xfId="1" applyNumberFormat="1" applyFont="1" applyFill="1" applyBorder="1" applyAlignment="1">
      <alignment vertical="center" wrapText="1"/>
    </xf>
    <xf numFmtId="10" fontId="4" fillId="0" borderId="11" xfId="1" applyNumberFormat="1" applyFont="1" applyBorder="1"/>
    <xf numFmtId="0" fontId="18" fillId="6" borderId="19" xfId="0" applyFont="1" applyFill="1" applyBorder="1" applyAlignment="1">
      <alignment horizontal="center" vertical="center" wrapText="1"/>
    </xf>
    <xf numFmtId="9" fontId="4" fillId="8" borderId="26" xfId="0" applyNumberFormat="1" applyFont="1" applyFill="1" applyBorder="1" applyAlignment="1">
      <alignment horizontal="right" vertical="center" wrapText="1"/>
    </xf>
    <xf numFmtId="165" fontId="4" fillId="8" borderId="11" xfId="0" applyNumberFormat="1" applyFont="1" applyFill="1" applyBorder="1" applyAlignment="1">
      <alignment horizontal="right" vertical="center" wrapText="1"/>
    </xf>
    <xf numFmtId="165" fontId="4" fillId="8" borderId="28" xfId="0" applyNumberFormat="1" applyFont="1" applyFill="1" applyBorder="1" applyAlignment="1">
      <alignment horizontal="right" vertical="center" wrapText="1"/>
    </xf>
    <xf numFmtId="9" fontId="4" fillId="0" borderId="26" xfId="0" applyNumberFormat="1" applyFont="1" applyBorder="1" applyAlignment="1">
      <alignment horizontal="right" vertical="center" wrapText="1"/>
    </xf>
    <xf numFmtId="165" fontId="4" fillId="0" borderId="11" xfId="0" applyNumberFormat="1" applyFont="1" applyBorder="1" applyAlignment="1">
      <alignment horizontal="right" vertical="center" wrapText="1"/>
    </xf>
    <xf numFmtId="165" fontId="4" fillId="0" borderId="28" xfId="0" applyNumberFormat="1" applyFont="1" applyBorder="1" applyAlignment="1">
      <alignment horizontal="right" vertical="center" wrapText="1"/>
    </xf>
    <xf numFmtId="9" fontId="4" fillId="8" borderId="25" xfId="0" applyNumberFormat="1" applyFont="1" applyFill="1" applyBorder="1" applyAlignment="1">
      <alignment horizontal="right" vertical="center" wrapText="1"/>
    </xf>
    <xf numFmtId="165" fontId="4" fillId="8" borderId="29" xfId="0" applyNumberFormat="1" applyFont="1" applyFill="1" applyBorder="1" applyAlignment="1">
      <alignment horizontal="right" vertical="center" wrapText="1"/>
    </xf>
    <xf numFmtId="165" fontId="4" fillId="8" borderId="24" xfId="0" applyNumberFormat="1" applyFont="1" applyFill="1" applyBorder="1" applyAlignment="1">
      <alignment horizontal="right" vertical="center" wrapText="1"/>
    </xf>
    <xf numFmtId="10" fontId="4" fillId="13" borderId="28" xfId="0" applyNumberFormat="1" applyFont="1" applyFill="1" applyBorder="1" applyAlignment="1">
      <alignment vertical="center" wrapText="1"/>
    </xf>
    <xf numFmtId="10" fontId="4" fillId="0" borderId="28" xfId="0" applyNumberFormat="1" applyFont="1" applyBorder="1" applyAlignment="1">
      <alignment vertical="center" wrapText="1"/>
    </xf>
    <xf numFmtId="10" fontId="4" fillId="13" borderId="29" xfId="0" applyNumberFormat="1" applyFont="1" applyFill="1" applyBorder="1" applyAlignment="1">
      <alignment vertical="center" wrapText="1"/>
    </xf>
    <xf numFmtId="10" fontId="4" fillId="13" borderId="24" xfId="0" applyNumberFormat="1" applyFont="1" applyFill="1" applyBorder="1" applyAlignment="1">
      <alignment vertical="center" wrapText="1"/>
    </xf>
    <xf numFmtId="0" fontId="4" fillId="0" borderId="0" xfId="0" applyFont="1" applyAlignment="1">
      <alignment horizontal="left" vertical="top" wrapText="1"/>
    </xf>
    <xf numFmtId="0" fontId="18" fillId="0" borderId="0" xfId="0" applyFont="1"/>
    <xf numFmtId="3" fontId="35" fillId="0" borderId="28" xfId="0" applyNumberFormat="1" applyFont="1" applyBorder="1"/>
    <xf numFmtId="3" fontId="35" fillId="8" borderId="28" xfId="0" applyNumberFormat="1" applyFont="1" applyFill="1" applyBorder="1"/>
    <xf numFmtId="10" fontId="34" fillId="0" borderId="28" xfId="1" applyNumberFormat="1" applyFont="1" applyBorder="1" applyAlignment="1">
      <alignment horizontal="right" vertical="center" wrapText="1"/>
    </xf>
    <xf numFmtId="10" fontId="34" fillId="0" borderId="28" xfId="1" applyNumberFormat="1" applyFont="1" applyFill="1" applyBorder="1" applyAlignment="1">
      <alignment horizontal="right" vertical="center"/>
    </xf>
    <xf numFmtId="10" fontId="34" fillId="8" borderId="28" xfId="1" applyNumberFormat="1" applyFont="1" applyFill="1" applyBorder="1" applyAlignment="1">
      <alignment horizontal="right" vertical="center"/>
    </xf>
    <xf numFmtId="0" fontId="8" fillId="9" borderId="0" xfId="0" applyFont="1" applyFill="1" applyAlignment="1">
      <alignment horizontal="center"/>
    </xf>
    <xf numFmtId="0" fontId="8" fillId="9" borderId="30" xfId="0" applyFont="1" applyFill="1" applyBorder="1" applyAlignment="1">
      <alignment horizontal="center"/>
    </xf>
    <xf numFmtId="0" fontId="31" fillId="0" borderId="0" xfId="0" applyFont="1" applyAlignment="1">
      <alignment horizontal="center"/>
    </xf>
    <xf numFmtId="0" fontId="15" fillId="8" borderId="16" xfId="0" applyFont="1" applyFill="1" applyBorder="1" applyAlignment="1">
      <alignment horizontal="center" vertical="center" wrapText="1"/>
    </xf>
    <xf numFmtId="0" fontId="15" fillId="8" borderId="17" xfId="0" applyFont="1" applyFill="1" applyBorder="1" applyAlignment="1">
      <alignment horizontal="center" vertical="center" wrapText="1"/>
    </xf>
    <xf numFmtId="168" fontId="14" fillId="8" borderId="17" xfId="0" applyNumberFormat="1" applyFont="1" applyFill="1" applyBorder="1" applyAlignment="1">
      <alignment horizontal="center" vertical="center" wrapText="1"/>
    </xf>
    <xf numFmtId="168" fontId="14" fillId="8" borderId="18" xfId="0" applyNumberFormat="1" applyFont="1" applyFill="1" applyBorder="1" applyAlignment="1">
      <alignment horizontal="center" vertical="center" wrapText="1"/>
    </xf>
    <xf numFmtId="10" fontId="11" fillId="5" borderId="0" xfId="0" applyNumberFormat="1" applyFont="1" applyFill="1" applyAlignment="1">
      <alignment horizontal="center" vertical="center" wrapText="1"/>
    </xf>
    <xf numFmtId="0" fontId="4" fillId="8" borderId="0" xfId="0" applyFont="1" applyFill="1" applyAlignment="1">
      <alignment horizontal="center" vertical="center" wrapText="1"/>
    </xf>
    <xf numFmtId="0" fontId="16" fillId="8" borderId="0" xfId="0" applyFont="1" applyFill="1" applyAlignment="1">
      <alignment horizontal="center" vertical="center"/>
    </xf>
    <xf numFmtId="0" fontId="10" fillId="8" borderId="21" xfId="0" applyFont="1" applyFill="1" applyBorder="1" applyAlignment="1">
      <alignment horizontal="center" vertical="center" wrapText="1"/>
    </xf>
    <xf numFmtId="0" fontId="13" fillId="8" borderId="22" xfId="0" applyFont="1" applyFill="1" applyBorder="1" applyAlignment="1">
      <alignment horizontal="center" vertical="center"/>
    </xf>
    <xf numFmtId="0" fontId="13" fillId="8" borderId="23" xfId="0" applyFont="1" applyFill="1" applyBorder="1" applyAlignment="1">
      <alignment horizontal="center" vertical="center"/>
    </xf>
    <xf numFmtId="0" fontId="17" fillId="0" borderId="0" xfId="0" applyFont="1" applyAlignment="1">
      <alignment horizontal="center" vertical="center"/>
    </xf>
    <xf numFmtId="0" fontId="19" fillId="8" borderId="0" xfId="0" applyFont="1" applyFill="1" applyAlignment="1">
      <alignment horizontal="left" vertical="center" wrapText="1"/>
    </xf>
    <xf numFmtId="0" fontId="6" fillId="0" borderId="0" xfId="0" applyFont="1" applyAlignment="1">
      <alignment horizontal="left" vertical="center" wrapText="1"/>
    </xf>
    <xf numFmtId="0" fontId="16" fillId="8" borderId="0" xfId="0" applyFont="1" applyFill="1" applyAlignment="1">
      <alignment horizontal="center"/>
    </xf>
    <xf numFmtId="0" fontId="21" fillId="0" borderId="0" xfId="0" applyFont="1" applyAlignment="1">
      <alignment horizontal="center" vertical="center" wrapText="1"/>
    </xf>
    <xf numFmtId="0" fontId="8" fillId="5" borderId="0" xfId="0" applyFont="1" applyFill="1" applyAlignment="1">
      <alignment horizontal="center"/>
    </xf>
    <xf numFmtId="0" fontId="9" fillId="5" borderId="0" xfId="0" applyFont="1" applyFill="1" applyAlignment="1">
      <alignment horizontal="center" vertical="center"/>
    </xf>
    <xf numFmtId="4" fontId="14" fillId="8" borderId="17" xfId="0" applyNumberFormat="1" applyFont="1" applyFill="1" applyBorder="1" applyAlignment="1">
      <alignment horizontal="center" vertical="center" wrapText="1"/>
    </xf>
    <xf numFmtId="4" fontId="14" fillId="8" borderId="18" xfId="0" applyNumberFormat="1" applyFont="1" applyFill="1" applyBorder="1" applyAlignment="1">
      <alignment horizontal="center" vertical="center" wrapText="1"/>
    </xf>
    <xf numFmtId="0" fontId="12" fillId="5" borderId="0" xfId="0" applyFont="1" applyFill="1" applyAlignment="1">
      <alignment horizontal="center" vertical="center" wrapText="1"/>
    </xf>
    <xf numFmtId="167" fontId="11" fillId="5" borderId="0" xfId="0" applyNumberFormat="1" applyFont="1" applyFill="1" applyAlignment="1">
      <alignment horizontal="center" vertical="center" wrapText="1"/>
    </xf>
    <xf numFmtId="168" fontId="14" fillId="8" borderId="14" xfId="0" applyNumberFormat="1" applyFont="1" applyFill="1" applyBorder="1" applyAlignment="1">
      <alignment horizontal="center" vertical="center" wrapText="1"/>
    </xf>
    <xf numFmtId="168" fontId="14" fillId="8" borderId="15" xfId="0" applyNumberFormat="1" applyFont="1" applyFill="1" applyBorder="1" applyAlignment="1">
      <alignment horizontal="center" vertical="center" wrapText="1"/>
    </xf>
    <xf numFmtId="0" fontId="15" fillId="8" borderId="13" xfId="0" applyFont="1" applyFill="1" applyBorder="1" applyAlignment="1">
      <alignment horizontal="center" vertical="center" wrapText="1"/>
    </xf>
    <xf numFmtId="0" fontId="15" fillId="8" borderId="14" xfId="0" applyFont="1" applyFill="1" applyBorder="1" applyAlignment="1">
      <alignment horizontal="center" vertical="center" wrapText="1"/>
    </xf>
    <xf numFmtId="0" fontId="18" fillId="0" borderId="0" xfId="0" applyFont="1" applyAlignment="1">
      <alignment horizontal="center"/>
    </xf>
    <xf numFmtId="0" fontId="23" fillId="9" borderId="0" xfId="0" applyFont="1" applyFill="1" applyAlignment="1">
      <alignment horizontal="left"/>
    </xf>
    <xf numFmtId="0" fontId="4" fillId="0" borderId="0" xfId="0" applyFont="1" applyAlignment="1">
      <alignment horizontal="center" vertical="center" wrapText="1"/>
    </xf>
    <xf numFmtId="0" fontId="41" fillId="6" borderId="33" xfId="0" applyFont="1" applyFill="1" applyBorder="1" applyAlignment="1">
      <alignment horizontal="center" vertical="center" wrapText="1"/>
    </xf>
    <xf numFmtId="0" fontId="41" fillId="6" borderId="34" xfId="0" applyFont="1" applyFill="1" applyBorder="1" applyAlignment="1">
      <alignment horizontal="center" vertical="center" wrapText="1"/>
    </xf>
    <xf numFmtId="0" fontId="41" fillId="6" borderId="4" xfId="0" applyFont="1" applyFill="1" applyBorder="1" applyAlignment="1">
      <alignment horizontal="center" vertical="center" wrapText="1"/>
    </xf>
    <xf numFmtId="0" fontId="4" fillId="8" borderId="31" xfId="0" applyFont="1" applyFill="1" applyBorder="1"/>
    <xf numFmtId="0" fontId="4" fillId="0" borderId="0" xfId="0" applyFont="1" applyBorder="1"/>
    <xf numFmtId="0" fontId="4" fillId="8" borderId="25" xfId="0" applyFont="1" applyFill="1" applyBorder="1"/>
    <xf numFmtId="167" fontId="4" fillId="8" borderId="11" xfId="0" applyNumberFormat="1" applyFont="1" applyFill="1" applyBorder="1"/>
    <xf numFmtId="167" fontId="4" fillId="0" borderId="32" xfId="0" applyNumberFormat="1" applyFont="1" applyBorder="1"/>
    <xf numFmtId="167" fontId="4" fillId="0" borderId="11" xfId="0" applyNumberFormat="1" applyFont="1" applyBorder="1"/>
    <xf numFmtId="167" fontId="4" fillId="8" borderId="28" xfId="0" applyNumberFormat="1" applyFont="1" applyFill="1" applyBorder="1"/>
  </cellXfs>
  <cellStyles count="4">
    <cellStyle name="Currency" xfId="3" builtinId="4"/>
    <cellStyle name="Hyperlink" xfId="2" builtinId="8"/>
    <cellStyle name="Normal" xfId="0" builtinId="0"/>
    <cellStyle name="Percent" xfId="1" builtinId="5"/>
  </cellStyles>
  <dxfs count="317">
    <dxf>
      <font>
        <b val="0"/>
        <i val="0"/>
        <strike val="0"/>
        <condense val="0"/>
        <extend val="0"/>
        <outline val="0"/>
        <shadow val="0"/>
        <u val="none"/>
        <vertAlign val="baseline"/>
        <sz val="11"/>
        <color theme="1"/>
        <name val="Aptos"/>
        <family val="2"/>
        <scheme val="none"/>
      </font>
      <numFmt numFmtId="167" formatCode="0.00,,&quot;M&quot;\ \€"/>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family val="2"/>
        <scheme val="none"/>
      </font>
      <numFmt numFmtId="167" formatCode="0.00,,&quot;M&quot;\ \€"/>
      <border diagonalUp="0" diagonalDown="0">
        <left style="thin">
          <color theme="2" tint="-9.9978637043366805E-2"/>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family val="2"/>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border>
        <top style="thin">
          <color indexed="64"/>
        </top>
      </border>
    </dxf>
    <dxf>
      <border>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rgb="FF3F725E"/>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4" formatCode="0.00%"/>
      <fill>
        <patternFill patternType="solid">
          <fgColor theme="6" tint="0.79998168889431442"/>
          <bgColor theme="6" tint="0.79998168889431442"/>
        </patternFill>
      </fill>
      <alignment horizontal="general" vertical="center" textRotation="0" wrapText="1" indent="0" justifyLastLine="0" shrinkToFit="0" readingOrder="0"/>
    </dxf>
    <dxf>
      <font>
        <strike val="0"/>
        <outline val="0"/>
        <shadow val="0"/>
        <u val="none"/>
        <vertAlign val="baseline"/>
        <name val="Aptos"/>
        <family val="2"/>
        <scheme val="none"/>
      </font>
      <numFmt numFmtId="13" formatCode="0%"/>
      <alignment horizontal="right" vertical="center" textRotation="0" wrapText="1" indent="0" justifyLastLine="0" shrinkToFit="0" readingOrder="0"/>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right" vertical="center" textRotation="0" wrapText="1"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alignment horizontal="right" vertical="center" textRotation="0" wrapText="1" indent="0" justifyLastLine="0" shrinkToFit="0" readingOrder="0"/>
    </dxf>
    <dxf>
      <font>
        <strike val="0"/>
        <outline val="0"/>
        <shadow val="0"/>
        <u val="none"/>
        <vertAlign val="baseline"/>
        <name val="Aptos"/>
        <family val="2"/>
        <scheme val="none"/>
      </font>
      <numFmt numFmtId="13" formatCode="0%"/>
      <alignment horizontal="right" vertical="center" textRotation="0" wrapText="1" indent="0" justifyLastLine="0" shrinkToFit="0" readingOrder="0"/>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right" vertical="center" textRotation="0" wrapText="1"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dxf>
    <dxf>
      <font>
        <strike val="0"/>
        <outline val="0"/>
        <shadow val="0"/>
        <u val="none"/>
        <vertAlign val="baseline"/>
        <name val="Aptos"/>
        <family val="2"/>
        <scheme val="none"/>
      </font>
      <numFmt numFmtId="0" formatCode="General"/>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numFmt numFmtId="0" formatCode="Genera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alignment horizontal="general" vertical="center" textRotation="0" wrapText="1"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name val="Aptos"/>
        <family val="2"/>
        <scheme val="none"/>
      </font>
    </dxf>
    <dxf>
      <border>
        <bottom style="thin">
          <color theme="2" tint="-9.9978637043366805E-2"/>
        </bottom>
      </border>
    </dxf>
    <dxf>
      <font>
        <strike val="0"/>
        <outline val="0"/>
        <shadow val="0"/>
        <u val="none"/>
        <vertAlign val="baseline"/>
        <sz val="12"/>
        <name val="Aptos"/>
        <family val="2"/>
        <scheme val="none"/>
      </font>
      <fill>
        <patternFill>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numFmt numFmtId="165" formatCode="#,##0\ [$€-1]"/>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3" formatCode="#,##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1"/>
        <name val="Aptos"/>
        <family val="2"/>
        <scheme val="none"/>
      </font>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165" formatCode="#,##0\ [$€-1]"/>
      <fill>
        <patternFill patternType="none">
          <fgColor indexed="64"/>
          <bgColor indexed="65"/>
        </patternFill>
      </fill>
      <alignment horizontal="general"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center" vertical="center"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alignment horizontal="general" vertical="center" textRotation="0" wrapText="1" indent="0" justifyLastLine="0" shrinkToFit="0" readingOrder="0"/>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alignment horizontal="general" vertical="center" textRotation="0" wrapText="1" indent="0" justifyLastLine="0" shrinkToFit="0" readingOrder="0"/>
    </dxf>
    <dxf>
      <border>
        <bottom style="thin">
          <color theme="2" tint="-9.9978637043366805E-2"/>
        </bottom>
      </border>
    </dxf>
    <dxf>
      <font>
        <b/>
        <i val="0"/>
        <strike val="0"/>
        <condense val="0"/>
        <extend val="0"/>
        <outline val="0"/>
        <shadow val="0"/>
        <u val="none"/>
        <vertAlign val="baseline"/>
        <sz val="12"/>
        <color theme="1"/>
        <name val="Aptos"/>
        <family val="2"/>
        <scheme val="none"/>
      </font>
      <fill>
        <patternFill>
          <bgColor rgb="FF3F725E"/>
        </patternFill>
      </fill>
      <alignment horizontal="center" vertical="center" textRotation="0" wrapText="1"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165" formatCode="#,##0\ [$€-1]"/>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numFmt numFmtId="0" formatCode="General"/>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center" vertical="top"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0" formatCode="Genera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center" vertical="top"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numFmt numFmtId="0" formatCode="Genera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i val="0"/>
        <strike val="0"/>
        <condense val="0"/>
        <extend val="0"/>
        <outline val="0"/>
        <shadow val="0"/>
        <u val="none"/>
        <vertAlign val="baseline"/>
        <sz val="12"/>
        <color theme="0"/>
        <name val="Aptos"/>
        <family val="2"/>
        <scheme val="none"/>
      </font>
      <fill>
        <patternFill patternType="solid">
          <fgColor theme="7"/>
          <bgColor rgb="FF3F725E"/>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color theme="1"/>
        <name val="Aptos"/>
        <family val="2"/>
        <scheme val="none"/>
      </font>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fill>
        <patternFill patternType="none">
          <fgColor indexed="64"/>
          <bgColor auto="1"/>
        </patternFill>
      </fill>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Aptos"/>
        <family val="2"/>
        <scheme val="none"/>
      </font>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Aptos"/>
        <family val="2"/>
        <scheme val="none"/>
      </font>
      <border diagonalUp="0" diagonalDown="0">
        <left style="thin">
          <color theme="2" tint="-9.9978637043366805E-2"/>
        </left>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strike val="0"/>
        <outline val="0"/>
        <shadow val="0"/>
        <u val="none"/>
        <vertAlign val="baseline"/>
        <sz val="11"/>
        <name val="Aptos"/>
        <family val="2"/>
        <scheme val="none"/>
      </font>
      <fill>
        <patternFill patternType="none">
          <fgColor indexed="64"/>
          <bgColor auto="1"/>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b val="0"/>
        <i val="0"/>
        <strike val="0"/>
        <condense val="0"/>
        <extend val="0"/>
        <outline val="0"/>
        <shadow val="0"/>
        <u val="none"/>
        <vertAlign val="baseline"/>
        <sz val="11"/>
        <color theme="1"/>
        <name val="Aptos"/>
        <family val="2"/>
        <scheme val="none"/>
      </font>
      <alignment horizontal="center"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font>
        <b val="0"/>
        <i val="0"/>
        <strike val="0"/>
        <condense val="0"/>
        <extend val="0"/>
        <outline val="0"/>
        <shadow val="0"/>
        <u val="none"/>
        <vertAlign val="baseline"/>
        <sz val="11"/>
        <color theme="1"/>
        <name val="Aptos"/>
        <family val="2"/>
        <scheme val="none"/>
      </font>
      <border diagonalUp="0" diagonalDown="0">
        <left/>
        <right style="thin">
          <color theme="2" tint="-9.9978637043366805E-2"/>
        </right>
        <top style="thin">
          <color theme="2" tint="-9.9978637043366805E-2"/>
        </top>
        <bottom style="thin">
          <color theme="2" tint="-9.9978637043366805E-2"/>
        </bottom>
        <vertical style="thin">
          <color theme="2" tint="-9.9978637043366805E-2"/>
        </vertical>
        <horizontal style="thin">
          <color theme="2" tint="-9.9978637043366805E-2"/>
        </horizontal>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Aptos"/>
        <family val="2"/>
        <scheme val="none"/>
      </font>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val="0"/>
        <strike val="0"/>
        <outline val="0"/>
        <shadow val="0"/>
        <u val="none"/>
        <vertAlign val="baseline"/>
        <sz val="12"/>
        <color theme="1"/>
        <name val="Aptos"/>
        <family val="2"/>
        <scheme val="none"/>
      </font>
      <fill>
        <patternFill patternType="solid">
          <fgColor indexed="64"/>
          <bgColor rgb="FFEDF3F0"/>
        </patternFill>
      </fill>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EDF3F0"/>
        </patternFill>
      </fill>
      <alignment horizontal="general"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fill>
        <patternFill patternType="solid">
          <fgColor indexed="64"/>
          <bgColor rgb="FFEDF3F0"/>
        </patternFill>
      </fill>
    </dxf>
    <dxf>
      <border>
        <bottom style="thin">
          <color theme="2" tint="-9.9978637043366805E-2"/>
        </bottom>
      </border>
    </dxf>
    <dxf>
      <font>
        <b val="0"/>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b val="0"/>
        <strike val="0"/>
        <outline val="0"/>
        <shadow val="0"/>
        <u val="none"/>
        <vertAlign val="baseline"/>
        <sz val="12"/>
        <color theme="1"/>
        <name val="Aptos"/>
        <family val="2"/>
        <scheme val="none"/>
      </font>
      <alignment horizontal="center" textRotation="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2"/>
        <color theme="1"/>
        <name val="Aptos"/>
        <family val="2"/>
        <scheme val="none"/>
      </font>
      <numFmt numFmtId="14" formatCode="0.00%"/>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alignment horizontal="left" vertical="center" textRotation="0" wrapText="1"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strike val="0"/>
        <outline val="0"/>
        <shadow val="0"/>
        <u val="none"/>
        <vertAlign val="baseline"/>
        <sz val="12"/>
        <color theme="1"/>
        <name val="Aptos"/>
        <family val="2"/>
        <scheme val="none"/>
      </font>
      <alignment horizontal="left" textRotation="0" indent="0" justifyLastLine="0" shrinkToFit="0" readingOrder="0"/>
    </dxf>
    <dxf>
      <border outline="0">
        <bottom style="thin">
          <color theme="2" tint="-9.9978637043366805E-2"/>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theme="2" tint="-9.9978637043366805E-2"/>
        </left>
        <right style="thin">
          <color theme="2" tint="-9.9978637043366805E-2"/>
        </right>
        <top/>
        <bottom/>
      </border>
    </dxf>
    <dxf>
      <font>
        <b val="0"/>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border diagonalUp="0" diagonalDown="0" outline="0">
        <left style="thin">
          <color theme="2" tint="-9.9978637043366805E-2"/>
        </left>
        <right style="thin">
          <color theme="2" tint="-9.9978637043366805E-2"/>
        </right>
        <top style="thin">
          <color indexed="64"/>
        </top>
        <bottom style="thin">
          <color indexed="64"/>
        </bottom>
      </border>
    </dxf>
    <dxf>
      <font>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border diagonalUp="0" diagonalDown="0" outline="0">
        <left style="thin">
          <color theme="2" tint="-9.9978637043366805E-2"/>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color rgb="FF252525"/>
        <name val="Aptos"/>
        <family val="2"/>
        <scheme val="none"/>
      </font>
      <fill>
        <patternFill patternType="solid">
          <fgColor indexed="64"/>
          <bgColor theme="0"/>
        </patternFill>
      </fill>
      <alignment horizontal="left" vertical="center" textRotation="0" wrapText="1" indent="0" justifyLastLine="0" shrinkToFit="0" readingOrder="0"/>
    </dxf>
    <dxf>
      <border>
        <bottom style="thin">
          <color indexed="64"/>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vertAlign val="baseline"/>
        <name val="Aptos"/>
        <family val="2"/>
        <scheme val="none"/>
      </font>
      <alignment horizontal="general" vertical="center" textRotation="0" wrapText="1" indent="0" justifyLastLine="0" shrinkToFit="0" readingOrder="0"/>
    </dxf>
    <dxf>
      <font>
        <strike val="0"/>
        <outline val="0"/>
        <shadow val="0"/>
        <vertAlign val="baseline"/>
        <name val="Aptos"/>
        <family val="2"/>
        <scheme val="none"/>
      </font>
    </dxf>
    <dxf>
      <font>
        <strike val="0"/>
        <outline val="0"/>
        <shadow val="0"/>
        <vertAlign val="baseline"/>
        <name val="Aptos"/>
        <family val="2"/>
        <scheme val="none"/>
      </font>
      <alignment horizontal="center" vertical="center" textRotation="0" wrapText="1" indent="0" justifyLastLine="0" shrinkToFit="0" readingOrder="0"/>
    </dxf>
    <dxf>
      <font>
        <strike val="0"/>
        <outline val="0"/>
        <shadow val="0"/>
        <vertAlign val="baseline"/>
        <name val="Aptos"/>
        <family val="2"/>
        <scheme val="none"/>
      </font>
      <alignment horizontal="general" vertical="center" textRotation="0" wrapText="1" indent="0" justifyLastLine="0" shrinkToFit="0" readingOrder="0"/>
    </dxf>
    <dxf>
      <font>
        <strike val="0"/>
        <outline val="0"/>
        <shadow val="0"/>
        <vertAlign val="baseline"/>
        <name val="Aptos"/>
        <family val="2"/>
        <scheme val="none"/>
      </font>
    </dxf>
    <dxf>
      <font>
        <strike val="0"/>
        <outline val="0"/>
        <shadow val="0"/>
        <vertAlign val="baseline"/>
        <name val="Apto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strike val="0"/>
        <outline val="0"/>
        <shadow val="0"/>
        <vertAlign val="baseline"/>
        <name val="Aptos"/>
        <family val="2"/>
        <scheme val="none"/>
      </font>
      <alignment horizontal="general" vertical="center" textRotation="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left" vertical="center"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top style="thin">
          <color theme="2" tint="-9.9978637043366805E-2"/>
        </top>
      </border>
    </dxf>
    <dxf>
      <border diagonalUp="0" diagonalDown="0">
        <left style="thin">
          <color theme="2" tint="-9.9978637043366805E-2"/>
        </left>
        <right style="thin">
          <color theme="2" tint="-9.9978637043366805E-2"/>
        </right>
        <top style="thin">
          <color theme="2" tint="-9.9978637043366805E-2"/>
        </top>
        <bottom style="thin">
          <color theme="2" tint="-9.9978637043366805E-2"/>
        </bottom>
      </border>
    </dxf>
    <dxf>
      <font>
        <b/>
        <i val="0"/>
        <strike val="0"/>
        <condense val="0"/>
        <extend val="0"/>
        <outline val="0"/>
        <shadow val="0"/>
        <u val="none"/>
        <vertAlign val="baseline"/>
        <sz val="11"/>
        <color theme="1"/>
        <name val="Aptos"/>
        <family val="2"/>
        <scheme val="none"/>
      </font>
      <alignment horizontal="center" vertical="center" textRotation="0" wrapText="0" indent="0" justifyLastLine="0" shrinkToFit="0" readingOrder="0"/>
    </dxf>
    <dxf>
      <border>
        <bottom style="thin">
          <color theme="2" tint="-9.9978637043366805E-2"/>
        </bottom>
      </border>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strike val="0"/>
        <outline val="0"/>
        <shadow val="0"/>
        <vertAlign val="baseline"/>
        <sz val="11"/>
        <name val="Aptos"/>
        <family val="2"/>
        <scheme val="none"/>
      </font>
      <alignment vertical="center" textRotation="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style="thin">
          <color theme="2" tint="-9.9978637043366805E-2"/>
        </horizontal>
      </border>
    </dxf>
    <dxf>
      <font>
        <strike val="0"/>
        <outline val="0"/>
        <shadow val="0"/>
        <vertAlign val="baseline"/>
        <sz val="11"/>
        <name val="Aptos"/>
        <family val="2"/>
        <scheme val="none"/>
      </font>
      <alignment horizontal="left" vertical="center" textRotation="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center"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horizontal="general" vertical="center"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vertAlign val="baseline"/>
        <sz val="11"/>
        <name val="Aptos"/>
        <family val="2"/>
        <scheme val="none"/>
      </font>
      <alignment vertical="center" textRotation="0" indent="0" justifyLastLine="0" shrinkToFit="0" readingOrder="0"/>
    </dxf>
    <dxf>
      <font>
        <b/>
        <i val="0"/>
        <strike val="0"/>
        <condense val="0"/>
        <extend val="0"/>
        <outline val="0"/>
        <shadow val="0"/>
        <u val="none"/>
        <vertAlign val="baseline"/>
        <sz val="12"/>
        <color theme="1"/>
        <name val="Aptos"/>
        <family val="2"/>
        <scheme val="none"/>
      </font>
      <fill>
        <patternFill patternType="solid">
          <fgColor indexed="64"/>
          <bgColor rgb="FF3F725E"/>
        </patternFill>
      </fill>
      <alignment horizontal="center" vertical="bottom" textRotation="0" wrapText="0" indent="0" justifyLastLine="0" shrinkToFit="0" readingOrder="0"/>
    </dxf>
  </dxfs>
  <tableStyles count="0" defaultTableStyle="TableStyleMedium2" defaultPivotStyle="PivotStyleLight16"/>
  <colors>
    <mruColors>
      <color rgb="FFEDF3F0"/>
      <color rgb="FF3F725E"/>
      <color rgb="FF123F35"/>
      <color rgb="FF252525"/>
      <color rgb="FF163D32"/>
      <color rgb="FFFFFFFF"/>
      <color rgb="FFA8C3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NPV Sensitivity to Key Project Assumptions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'10_Sensitivity Analysis'!$B$39</c:f>
              <c:strCache>
                <c:ptCount val="1"/>
                <c:pt idx="0">
                  <c:v>PPA Price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Analysis'!$B$40:$B$44</c:f>
              <c:numCache>
                <c:formatCode>#,##0\ [$€-1]</c:formatCode>
                <c:ptCount val="5"/>
                <c:pt idx="0">
                  <c:v>-12267585.43681314</c:v>
                </c:pt>
                <c:pt idx="1">
                  <c:v>-2767652.6974291401</c:v>
                </c:pt>
                <c:pt idx="2">
                  <c:v>6732280.0419548247</c:v>
                </c:pt>
                <c:pt idx="3">
                  <c:v>16232212.781338837</c:v>
                </c:pt>
                <c:pt idx="4">
                  <c:v>25732145.520722799</c:v>
                </c:pt>
              </c:numCache>
            </c:numRef>
          </c:val>
          <c:smooth val="0"/>
          <c:extLst>
            <c:ext xmlns:c16="http://schemas.microsoft.com/office/drawing/2014/chart" uri="{C3380CC4-5D6E-409C-BE32-E72D297353CC}">
              <c16:uniqueId val="{00000000-B6CC-4831-9DC7-CE937392B375}"/>
            </c:ext>
          </c:extLst>
        </c:ser>
        <c:ser>
          <c:idx val="2"/>
          <c:order val="1"/>
          <c:tx>
            <c:strRef>
              <c:f>'10_Sensitivity Analysis'!$C$39</c:f>
              <c:strCache>
                <c:ptCount val="1"/>
                <c:pt idx="0">
                  <c:v>CAPEX</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Analysis'!$C$40:$C$44</c:f>
              <c:numCache>
                <c:formatCode>#,##0\ [$€-1]</c:formatCode>
                <c:ptCount val="5"/>
                <c:pt idx="0">
                  <c:v>20857784.727065019</c:v>
                </c:pt>
                <c:pt idx="1">
                  <c:v>13795032.384509934</c:v>
                </c:pt>
                <c:pt idx="2">
                  <c:v>6732280.0419548247</c:v>
                </c:pt>
                <c:pt idx="3">
                  <c:v>-330472.30060027493</c:v>
                </c:pt>
                <c:pt idx="4">
                  <c:v>-7393224.6431553485</c:v>
                </c:pt>
              </c:numCache>
            </c:numRef>
          </c:val>
          <c:smooth val="0"/>
          <c:extLst>
            <c:ext xmlns:c16="http://schemas.microsoft.com/office/drawing/2014/chart" uri="{C3380CC4-5D6E-409C-BE32-E72D297353CC}">
              <c16:uniqueId val="{00000001-B6CC-4831-9DC7-CE937392B375}"/>
            </c:ext>
          </c:extLst>
        </c:ser>
        <c:ser>
          <c:idx val="3"/>
          <c:order val="2"/>
          <c:tx>
            <c:strRef>
              <c:f>'10_Sensitivity Analysis'!$D$39</c:f>
              <c:strCache>
                <c:ptCount val="1"/>
                <c:pt idx="0">
                  <c:v>Capacity Factor</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Analysis'!$D$40:$D$44</c:f>
              <c:numCache>
                <c:formatCode>#,##0\ [$€-1]</c:formatCode>
                <c:ptCount val="5"/>
                <c:pt idx="0">
                  <c:v>-12267585.43681314</c:v>
                </c:pt>
                <c:pt idx="1">
                  <c:v>-2767652.6974291531</c:v>
                </c:pt>
                <c:pt idx="2">
                  <c:v>6732280.0419548247</c:v>
                </c:pt>
                <c:pt idx="3">
                  <c:v>16232212.781338826</c:v>
                </c:pt>
                <c:pt idx="4">
                  <c:v>25732145.520722825</c:v>
                </c:pt>
              </c:numCache>
            </c:numRef>
          </c:val>
          <c:smooth val="0"/>
          <c:extLst>
            <c:ext xmlns:c16="http://schemas.microsoft.com/office/drawing/2014/chart" uri="{C3380CC4-5D6E-409C-BE32-E72D297353CC}">
              <c16:uniqueId val="{00000002-B6CC-4831-9DC7-CE937392B375}"/>
            </c:ext>
          </c:extLst>
        </c:ser>
        <c:dLbls>
          <c:showLegendKey val="0"/>
          <c:showVal val="0"/>
          <c:showCatName val="0"/>
          <c:showSerName val="0"/>
          <c:showPercent val="0"/>
          <c:showBubbleSize val="0"/>
        </c:dLbls>
        <c:marker val="1"/>
        <c:smooth val="0"/>
        <c:axId val="1095772576"/>
        <c:axId val="1260196336"/>
      </c:lineChart>
      <c:catAx>
        <c:axId val="109577257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196336"/>
        <c:crosses val="autoZero"/>
        <c:auto val="1"/>
        <c:lblAlgn val="ctr"/>
        <c:lblOffset val="100"/>
        <c:noMultiLvlLbl val="0"/>
      </c:catAx>
      <c:valAx>
        <c:axId val="12601963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NPV</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772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r>
              <a:rPr lang="en-US" sz="1400" b="1" i="0" u="none" strike="noStrike" baseline="0">
                <a:latin typeface="+mj-lt"/>
              </a:rPr>
              <a:t>NPV Sensitivity to Key Project Assumptions</a:t>
            </a:r>
            <a:endParaRPr lang="en-US"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lineChart>
        <c:grouping val="standard"/>
        <c:varyColors val="0"/>
        <c:ser>
          <c:idx val="1"/>
          <c:order val="0"/>
          <c:tx>
            <c:strRef>
              <c:f>'10_Sensitivity Analysis'!$B$39</c:f>
              <c:strCache>
                <c:ptCount val="1"/>
                <c:pt idx="0">
                  <c:v>PPA Price</c:v>
                </c:pt>
              </c:strCache>
            </c:strRef>
          </c:tx>
          <c:spPr>
            <a:ln w="28575" cap="rnd">
              <a:solidFill>
                <a:schemeClr val="accent6">
                  <a:shade val="86000"/>
                </a:schemeClr>
              </a:solidFill>
              <a:round/>
            </a:ln>
            <a:effectLst/>
          </c:spPr>
          <c:marker>
            <c:symbol val="circle"/>
            <c:size val="5"/>
            <c:spPr>
              <a:solidFill>
                <a:schemeClr val="accent6">
                  <a:shade val="86000"/>
                </a:schemeClr>
              </a:solidFill>
              <a:ln w="9525">
                <a:solidFill>
                  <a:schemeClr val="accent6">
                    <a:shade val="86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Analysis'!$B$40:$B$44</c:f>
              <c:numCache>
                <c:formatCode>#,##0\ [$€-1]</c:formatCode>
                <c:ptCount val="5"/>
                <c:pt idx="0">
                  <c:v>-12267585.43681314</c:v>
                </c:pt>
                <c:pt idx="1">
                  <c:v>-2767652.6974291401</c:v>
                </c:pt>
                <c:pt idx="2">
                  <c:v>6732280.0419548247</c:v>
                </c:pt>
                <c:pt idx="3">
                  <c:v>16232212.781338837</c:v>
                </c:pt>
                <c:pt idx="4">
                  <c:v>25732145.520722799</c:v>
                </c:pt>
              </c:numCache>
            </c:numRef>
          </c:val>
          <c:smooth val="0"/>
          <c:extLst>
            <c:ext xmlns:c16="http://schemas.microsoft.com/office/drawing/2014/chart" uri="{C3380CC4-5D6E-409C-BE32-E72D297353CC}">
              <c16:uniqueId val="{00000001-92B5-46A5-9CE3-DE119A387E00}"/>
            </c:ext>
          </c:extLst>
        </c:ser>
        <c:ser>
          <c:idx val="2"/>
          <c:order val="1"/>
          <c:tx>
            <c:strRef>
              <c:f>'10_Sensitivity Analysis'!$C$39</c:f>
              <c:strCache>
                <c:ptCount val="1"/>
                <c:pt idx="0">
                  <c:v>CAPEX</c:v>
                </c:pt>
              </c:strCache>
            </c:strRef>
          </c:tx>
          <c:spPr>
            <a:ln w="28575" cap="rnd">
              <a:solidFill>
                <a:schemeClr val="accent6">
                  <a:tint val="86000"/>
                </a:schemeClr>
              </a:solidFill>
              <a:round/>
            </a:ln>
            <a:effectLst/>
          </c:spPr>
          <c:marker>
            <c:symbol val="circle"/>
            <c:size val="5"/>
            <c:spPr>
              <a:solidFill>
                <a:schemeClr val="accent6">
                  <a:tint val="86000"/>
                </a:schemeClr>
              </a:solidFill>
              <a:ln w="9525">
                <a:solidFill>
                  <a:schemeClr val="accent6">
                    <a:tint val="86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Analysis'!$C$40:$C$44</c:f>
              <c:numCache>
                <c:formatCode>#,##0\ [$€-1]</c:formatCode>
                <c:ptCount val="5"/>
                <c:pt idx="0">
                  <c:v>20857784.727065019</c:v>
                </c:pt>
                <c:pt idx="1">
                  <c:v>13795032.384509934</c:v>
                </c:pt>
                <c:pt idx="2">
                  <c:v>6732280.0419548247</c:v>
                </c:pt>
                <c:pt idx="3">
                  <c:v>-330472.30060027493</c:v>
                </c:pt>
                <c:pt idx="4">
                  <c:v>-7393224.6431553485</c:v>
                </c:pt>
              </c:numCache>
            </c:numRef>
          </c:val>
          <c:smooth val="0"/>
          <c:extLst>
            <c:ext xmlns:c16="http://schemas.microsoft.com/office/drawing/2014/chart" uri="{C3380CC4-5D6E-409C-BE32-E72D297353CC}">
              <c16:uniqueId val="{00000002-92B5-46A5-9CE3-DE119A387E00}"/>
            </c:ext>
          </c:extLst>
        </c:ser>
        <c:ser>
          <c:idx val="3"/>
          <c:order val="2"/>
          <c:tx>
            <c:strRef>
              <c:f>'10_Sensitivity Analysis'!$D$39</c:f>
              <c:strCache>
                <c:ptCount val="1"/>
                <c:pt idx="0">
                  <c:v>Capacity Factor</c:v>
                </c:pt>
              </c:strCache>
            </c:strRef>
          </c:tx>
          <c:spPr>
            <a:ln w="28575" cap="rnd">
              <a:solidFill>
                <a:schemeClr val="accent6">
                  <a:tint val="58000"/>
                </a:schemeClr>
              </a:solidFill>
              <a:round/>
            </a:ln>
            <a:effectLst/>
          </c:spPr>
          <c:marker>
            <c:symbol val="circle"/>
            <c:size val="5"/>
            <c:spPr>
              <a:solidFill>
                <a:schemeClr val="accent6">
                  <a:tint val="58000"/>
                </a:schemeClr>
              </a:solidFill>
              <a:ln w="9525">
                <a:solidFill>
                  <a:schemeClr val="accent6">
                    <a:tint val="58000"/>
                  </a:schemeClr>
                </a:solidFill>
              </a:ln>
              <a:effectLst/>
            </c:spPr>
          </c:marker>
          <c:cat>
            <c:numRef>
              <c:f>'10_Sensitivity Analysis'!$A$40:$A$44</c:f>
              <c:numCache>
                <c:formatCode>0%</c:formatCode>
                <c:ptCount val="5"/>
                <c:pt idx="0">
                  <c:v>-0.2</c:v>
                </c:pt>
                <c:pt idx="1">
                  <c:v>-0.1</c:v>
                </c:pt>
                <c:pt idx="2">
                  <c:v>0</c:v>
                </c:pt>
                <c:pt idx="3">
                  <c:v>0.1</c:v>
                </c:pt>
                <c:pt idx="4">
                  <c:v>0.2</c:v>
                </c:pt>
              </c:numCache>
            </c:numRef>
          </c:cat>
          <c:val>
            <c:numRef>
              <c:f>'10_Sensitivity Analysis'!$D$40:$D$44</c:f>
              <c:numCache>
                <c:formatCode>#,##0\ [$€-1]</c:formatCode>
                <c:ptCount val="5"/>
                <c:pt idx="0">
                  <c:v>-12267585.43681314</c:v>
                </c:pt>
                <c:pt idx="1">
                  <c:v>-2767652.6974291531</c:v>
                </c:pt>
                <c:pt idx="2">
                  <c:v>6732280.0419548247</c:v>
                </c:pt>
                <c:pt idx="3">
                  <c:v>16232212.781338826</c:v>
                </c:pt>
                <c:pt idx="4">
                  <c:v>25732145.520722825</c:v>
                </c:pt>
              </c:numCache>
            </c:numRef>
          </c:val>
          <c:smooth val="0"/>
          <c:extLst>
            <c:ext xmlns:c16="http://schemas.microsoft.com/office/drawing/2014/chart" uri="{C3380CC4-5D6E-409C-BE32-E72D297353CC}">
              <c16:uniqueId val="{00000003-92B5-46A5-9CE3-DE119A387E00}"/>
            </c:ext>
          </c:extLst>
        </c:ser>
        <c:dLbls>
          <c:showLegendKey val="0"/>
          <c:showVal val="0"/>
          <c:showCatName val="0"/>
          <c:showSerName val="0"/>
          <c:showPercent val="0"/>
          <c:showBubbleSize val="0"/>
        </c:dLbls>
        <c:marker val="1"/>
        <c:smooth val="0"/>
        <c:axId val="1095772576"/>
        <c:axId val="1260196336"/>
      </c:lineChart>
      <c:catAx>
        <c:axId val="109577257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196336"/>
        <c:crosses val="autoZero"/>
        <c:auto val="1"/>
        <c:lblAlgn val="ctr"/>
        <c:lblOffset val="100"/>
        <c:noMultiLvlLbl val="0"/>
      </c:catAx>
      <c:valAx>
        <c:axId val="12601963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NPV</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772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rPr>
              <a:t>IRR Sensitivity to Key Project Assumptions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lineChart>
        <c:grouping val="standard"/>
        <c:varyColors val="0"/>
        <c:ser>
          <c:idx val="1"/>
          <c:order val="0"/>
          <c:tx>
            <c:strRef>
              <c:f>'10_Sensitivity Analysis'!$B$54</c:f>
              <c:strCache>
                <c:ptCount val="1"/>
                <c:pt idx="0">
                  <c:v>PPA Price</c:v>
                </c:pt>
              </c:strCache>
            </c:strRef>
          </c:tx>
          <c:spPr>
            <a:ln w="28575" cap="rnd">
              <a:solidFill>
                <a:schemeClr val="accent6">
                  <a:shade val="86000"/>
                </a:schemeClr>
              </a:solidFill>
              <a:round/>
            </a:ln>
            <a:effectLst/>
          </c:spPr>
          <c:marker>
            <c:symbol val="circle"/>
            <c:size val="5"/>
            <c:spPr>
              <a:solidFill>
                <a:schemeClr val="accent6">
                  <a:shade val="86000"/>
                </a:schemeClr>
              </a:solidFill>
              <a:ln w="9525">
                <a:solidFill>
                  <a:schemeClr val="accent6">
                    <a:shade val="86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Analysis'!$B$55:$B$59</c:f>
              <c:numCache>
                <c:formatCode>0.00%</c:formatCode>
                <c:ptCount val="5"/>
                <c:pt idx="0">
                  <c:v>1.9566173237072215E-2</c:v>
                </c:pt>
                <c:pt idx="1">
                  <c:v>2.9807880347292981E-2</c:v>
                </c:pt>
                <c:pt idx="2">
                  <c:v>3.9367079593305432E-2</c:v>
                </c:pt>
                <c:pt idx="3">
                  <c:v>4.8381821847259143E-2</c:v>
                </c:pt>
                <c:pt idx="4">
                  <c:v>5.6953195021144154E-2</c:v>
                </c:pt>
              </c:numCache>
            </c:numRef>
          </c:val>
          <c:smooth val="0"/>
          <c:extLst>
            <c:ext xmlns:c16="http://schemas.microsoft.com/office/drawing/2014/chart" uri="{C3380CC4-5D6E-409C-BE32-E72D297353CC}">
              <c16:uniqueId val="{00000001-DB2B-40C1-B3CD-1BEF49010F79}"/>
            </c:ext>
          </c:extLst>
        </c:ser>
        <c:ser>
          <c:idx val="2"/>
          <c:order val="1"/>
          <c:tx>
            <c:strRef>
              <c:f>'10_Sensitivity Analysis'!$C$54</c:f>
              <c:strCache>
                <c:ptCount val="1"/>
                <c:pt idx="0">
                  <c:v>CAPEX</c:v>
                </c:pt>
              </c:strCache>
            </c:strRef>
          </c:tx>
          <c:spPr>
            <a:ln w="28575" cap="rnd">
              <a:solidFill>
                <a:schemeClr val="accent6">
                  <a:tint val="86000"/>
                </a:schemeClr>
              </a:solidFill>
              <a:round/>
            </a:ln>
            <a:effectLst/>
          </c:spPr>
          <c:marker>
            <c:symbol val="circle"/>
            <c:size val="5"/>
            <c:spPr>
              <a:solidFill>
                <a:schemeClr val="accent6">
                  <a:tint val="86000"/>
                </a:schemeClr>
              </a:solidFill>
              <a:ln w="9525">
                <a:solidFill>
                  <a:schemeClr val="accent6">
                    <a:tint val="86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Analysis'!$C$55:$C$59</c:f>
              <c:numCache>
                <c:formatCode>0.00%</c:formatCode>
                <c:ptCount val="5"/>
                <c:pt idx="0">
                  <c:v>5.7276058867927304E-2</c:v>
                </c:pt>
                <c:pt idx="1">
                  <c:v>4.7550758267285165E-2</c:v>
                </c:pt>
                <c:pt idx="2">
                  <c:v>3.9367079593305432E-2</c:v>
                </c:pt>
                <c:pt idx="3">
                  <c:v>3.2349851580104616E-2</c:v>
                </c:pt>
                <c:pt idx="4">
                  <c:v>2.6241636507576827E-2</c:v>
                </c:pt>
              </c:numCache>
            </c:numRef>
          </c:val>
          <c:smooth val="0"/>
          <c:extLst>
            <c:ext xmlns:c16="http://schemas.microsoft.com/office/drawing/2014/chart" uri="{C3380CC4-5D6E-409C-BE32-E72D297353CC}">
              <c16:uniqueId val="{00000002-DB2B-40C1-B3CD-1BEF49010F79}"/>
            </c:ext>
          </c:extLst>
        </c:ser>
        <c:ser>
          <c:idx val="3"/>
          <c:order val="2"/>
          <c:tx>
            <c:strRef>
              <c:f>'10_Sensitivity Analysis'!$D$54</c:f>
              <c:strCache>
                <c:ptCount val="1"/>
                <c:pt idx="0">
                  <c:v>Capacity Factor</c:v>
                </c:pt>
              </c:strCache>
            </c:strRef>
          </c:tx>
          <c:spPr>
            <a:ln w="28575" cap="rnd">
              <a:solidFill>
                <a:schemeClr val="accent6">
                  <a:tint val="58000"/>
                </a:schemeClr>
              </a:solidFill>
              <a:round/>
            </a:ln>
            <a:effectLst/>
          </c:spPr>
          <c:marker>
            <c:symbol val="circle"/>
            <c:size val="5"/>
            <c:spPr>
              <a:solidFill>
                <a:schemeClr val="accent6">
                  <a:tint val="58000"/>
                </a:schemeClr>
              </a:solidFill>
              <a:ln w="9525">
                <a:solidFill>
                  <a:schemeClr val="accent6">
                    <a:tint val="58000"/>
                  </a:schemeClr>
                </a:solidFill>
              </a:ln>
              <a:effectLst/>
            </c:spPr>
          </c:marker>
          <c:cat>
            <c:numRef>
              <c:f>'10_Sensitivity Analysis'!$A$55:$A$59</c:f>
              <c:numCache>
                <c:formatCode>0%</c:formatCode>
                <c:ptCount val="5"/>
                <c:pt idx="0">
                  <c:v>-0.2</c:v>
                </c:pt>
                <c:pt idx="1">
                  <c:v>-0.1</c:v>
                </c:pt>
                <c:pt idx="2">
                  <c:v>0</c:v>
                </c:pt>
                <c:pt idx="3">
                  <c:v>0.1</c:v>
                </c:pt>
                <c:pt idx="4">
                  <c:v>0.2</c:v>
                </c:pt>
              </c:numCache>
            </c:numRef>
          </c:cat>
          <c:val>
            <c:numRef>
              <c:f>'10_Sensitivity Analysis'!$D$55:$D$59</c:f>
              <c:numCache>
                <c:formatCode>0.00%</c:formatCode>
                <c:ptCount val="5"/>
                <c:pt idx="0">
                  <c:v>1.9566173237072215E-2</c:v>
                </c:pt>
                <c:pt idx="1">
                  <c:v>2.9807880347292981E-2</c:v>
                </c:pt>
                <c:pt idx="2">
                  <c:v>3.9367079593305432E-2</c:v>
                </c:pt>
                <c:pt idx="3">
                  <c:v>4.8381821847259143E-2</c:v>
                </c:pt>
                <c:pt idx="4">
                  <c:v>5.6953195021144154E-2</c:v>
                </c:pt>
              </c:numCache>
            </c:numRef>
          </c:val>
          <c:smooth val="0"/>
          <c:extLst>
            <c:ext xmlns:c16="http://schemas.microsoft.com/office/drawing/2014/chart" uri="{C3380CC4-5D6E-409C-BE32-E72D297353CC}">
              <c16:uniqueId val="{00000003-DB2B-40C1-B3CD-1BEF49010F79}"/>
            </c:ext>
          </c:extLst>
        </c:ser>
        <c:dLbls>
          <c:showLegendKey val="0"/>
          <c:showVal val="0"/>
          <c:showCatName val="0"/>
          <c:showSerName val="0"/>
          <c:showPercent val="0"/>
          <c:showBubbleSize val="0"/>
        </c:dLbls>
        <c:marker val="1"/>
        <c:smooth val="0"/>
        <c:axId val="578603984"/>
        <c:axId val="1260243376"/>
      </c:lineChart>
      <c:catAx>
        <c:axId val="578603984"/>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243376"/>
        <c:crosses val="autoZero"/>
        <c:auto val="1"/>
        <c:lblAlgn val="ctr"/>
        <c:lblOffset val="100"/>
        <c:noMultiLvlLbl val="0"/>
      </c:catAx>
      <c:valAx>
        <c:axId val="12602433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603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ysClr val="windowText" lastClr="000000">
                    <a:lumMod val="65000"/>
                    <a:lumOff val="35000"/>
                  </a:sysClr>
                </a:solidFill>
                <a:latin typeface="+mj-lt"/>
                <a:ea typeface="+mn-ea"/>
                <a:cs typeface="+mn-cs"/>
              </a:defRPr>
            </a:pPr>
            <a:r>
              <a:rPr lang="en-US" sz="1400" b="1" i="0" u="none" strike="noStrike" kern="1200" spc="0" baseline="0">
                <a:solidFill>
                  <a:sysClr val="windowText" lastClr="000000">
                    <a:lumMod val="65000"/>
                    <a:lumOff val="35000"/>
                  </a:sysClr>
                </a:solidFill>
                <a:latin typeface="+mj-lt"/>
                <a:ea typeface="+mn-ea"/>
                <a:cs typeface="+mn-cs"/>
              </a:rPr>
              <a:t>Sensitivity analysis (NPV-25Y)</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ysClr val="windowText" lastClr="000000">
                  <a:lumMod val="65000"/>
                  <a:lumOff val="35000"/>
                </a:sysClr>
              </a:solidFill>
              <a:latin typeface="+mj-lt"/>
              <a:ea typeface="+mn-ea"/>
              <a:cs typeface="+mn-cs"/>
            </a:defRPr>
          </a:pPr>
          <a:endParaRPr lang="en-US"/>
        </a:p>
      </c:txPr>
    </c:title>
    <c:autoTitleDeleted val="0"/>
    <c:plotArea>
      <c:layout>
        <c:manualLayout>
          <c:layoutTarget val="inner"/>
          <c:xMode val="edge"/>
          <c:yMode val="edge"/>
          <c:x val="9.4532708083457512E-2"/>
          <c:y val="0.16382223326682066"/>
          <c:w val="0.84253105931309258"/>
          <c:h val="0.71890986382304201"/>
        </c:manualLayout>
      </c:layout>
      <c:barChart>
        <c:barDir val="bar"/>
        <c:grouping val="stacked"/>
        <c:varyColors val="0"/>
        <c:ser>
          <c:idx val="0"/>
          <c:order val="0"/>
          <c:tx>
            <c:strRef>
              <c:f>'10_Sensitivity Analysis'!$G$39</c:f>
              <c:strCache>
                <c:ptCount val="1"/>
                <c:pt idx="0">
                  <c:v>-10% Impact</c:v>
                </c:pt>
              </c:strCache>
            </c:strRef>
          </c:tx>
          <c:spPr>
            <a:solidFill>
              <a:srgbClr val="FF0000"/>
            </a:solidFill>
            <a:ln>
              <a:solidFill>
                <a:srgbClr val="FF0000"/>
              </a:solidFill>
            </a:ln>
            <a:effectLst/>
          </c:spPr>
          <c:invertIfNegative val="0"/>
          <c:dLbls>
            <c:dLbl>
              <c:idx val="0"/>
              <c:layout>
                <c:manualLayout>
                  <c:x val="-0.21383720688678698"/>
                  <c:y val="-4.6686301871423103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688-4DF9-92A8-0E8E6F4C05ED}"/>
                </c:ext>
              </c:extLst>
            </c:dLbl>
            <c:dLbl>
              <c:idx val="1"/>
              <c:layout>
                <c:manualLayout>
                  <c:x val="0.1943974608061698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688-4DF9-92A8-0E8E6F4C05ED}"/>
                </c:ext>
              </c:extLst>
            </c:dLbl>
            <c:dLbl>
              <c:idx val="2"/>
              <c:layout>
                <c:manualLayout>
                  <c:x val="-0.19717456738911526"/>
                  <c:y val="-"/>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688-4DF9-92A8-0E8E6F4C05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'10_Sensitivity Analysis'!$F$40:$F$42</c:f>
              <c:strCache>
                <c:ptCount val="3"/>
                <c:pt idx="0">
                  <c:v>PPA Price</c:v>
                </c:pt>
                <c:pt idx="1">
                  <c:v>CAPEX </c:v>
                </c:pt>
                <c:pt idx="2">
                  <c:v>Capacity Factor (%)</c:v>
                </c:pt>
              </c:strCache>
            </c:strRef>
          </c:cat>
          <c:val>
            <c:numRef>
              <c:f>'10_Sensitivity Analysis'!$G$40:$G$42</c:f>
              <c:numCache>
                <c:formatCode>0.00,,"M"\ \€</c:formatCode>
                <c:ptCount val="3"/>
                <c:pt idx="0">
                  <c:v>-9499932.7393839657</c:v>
                </c:pt>
                <c:pt idx="1">
                  <c:v>7062752.3425551094</c:v>
                </c:pt>
                <c:pt idx="2">
                  <c:v>-9499932.7393839769</c:v>
                </c:pt>
              </c:numCache>
            </c:numRef>
          </c:val>
          <c:extLst>
            <c:ext xmlns:c16="http://schemas.microsoft.com/office/drawing/2014/chart" uri="{C3380CC4-5D6E-409C-BE32-E72D297353CC}">
              <c16:uniqueId val="{00000003-3688-4DF9-92A8-0E8E6F4C05ED}"/>
            </c:ext>
          </c:extLst>
        </c:ser>
        <c:ser>
          <c:idx val="1"/>
          <c:order val="1"/>
          <c:tx>
            <c:strRef>
              <c:f>'10_Sensitivity Analysis'!$H$39</c:f>
              <c:strCache>
                <c:ptCount val="1"/>
                <c:pt idx="0">
                  <c:v>+10% Impact</c:v>
                </c:pt>
              </c:strCache>
            </c:strRef>
          </c:tx>
          <c:spPr>
            <a:solidFill>
              <a:srgbClr val="00B050"/>
            </a:solidFill>
            <a:ln>
              <a:noFill/>
            </a:ln>
            <a:effectLst/>
          </c:spPr>
          <c:invertIfNegative val="0"/>
          <c:dLbls>
            <c:dLbl>
              <c:idx val="0"/>
              <c:layout>
                <c:manualLayout>
                  <c:x val="0.22216852663562275"/>
                  <c:y val="8.5590564681433855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688-4DF9-92A8-0E8E6F4C05ED}"/>
                </c:ext>
              </c:extLst>
            </c:dLbl>
            <c:dLbl>
              <c:idx val="1"/>
              <c:layout>
                <c:manualLayout>
                  <c:x val="-0.1805119278914436"/>
                  <c:y val="-"/>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688-4DF9-92A8-0E8E6F4C05ED}"/>
                </c:ext>
              </c:extLst>
            </c:dLbl>
            <c:dLbl>
              <c:idx val="2"/>
              <c:layout>
                <c:manualLayout>
                  <c:x val="0.1888432476402793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688-4DF9-92A8-0E8E6F4C05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'10_Sensitivity Analysis'!$F$40:$F$42</c:f>
              <c:strCache>
                <c:ptCount val="3"/>
                <c:pt idx="0">
                  <c:v>PPA Price</c:v>
                </c:pt>
                <c:pt idx="1">
                  <c:v>CAPEX </c:v>
                </c:pt>
                <c:pt idx="2">
                  <c:v>Capacity Factor (%)</c:v>
                </c:pt>
              </c:strCache>
            </c:strRef>
          </c:cat>
          <c:val>
            <c:numRef>
              <c:f>'10_Sensitivity Analysis'!$H$40:$H$42</c:f>
              <c:numCache>
                <c:formatCode>0.00,,"M"\ \€</c:formatCode>
                <c:ptCount val="3"/>
                <c:pt idx="0">
                  <c:v>9499932.7393840123</c:v>
                </c:pt>
                <c:pt idx="1">
                  <c:v>-7062752.3425551001</c:v>
                </c:pt>
                <c:pt idx="2">
                  <c:v>9499932.7393840011</c:v>
                </c:pt>
              </c:numCache>
            </c:numRef>
          </c:val>
          <c:extLst>
            <c:ext xmlns:c16="http://schemas.microsoft.com/office/drawing/2014/chart" uri="{C3380CC4-5D6E-409C-BE32-E72D297353CC}">
              <c16:uniqueId val="{00000004-3688-4DF9-92A8-0E8E6F4C05ED}"/>
            </c:ext>
          </c:extLst>
        </c:ser>
        <c:dLbls>
          <c:dLblPos val="ctr"/>
          <c:showLegendKey val="0"/>
          <c:showVal val="1"/>
          <c:showCatName val="0"/>
          <c:showSerName val="0"/>
          <c:showPercent val="0"/>
          <c:showBubbleSize val="0"/>
        </c:dLbls>
        <c:gapWidth val="150"/>
        <c:overlap val="100"/>
        <c:axId val="1445331040"/>
        <c:axId val="1141743152"/>
      </c:barChart>
      <c:catAx>
        <c:axId val="1445331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1743152"/>
        <c:crosses val="autoZero"/>
        <c:auto val="1"/>
        <c:lblAlgn val="ctr"/>
        <c:lblOffset val="100"/>
        <c:noMultiLvlLbl val="0"/>
      </c:catAx>
      <c:valAx>
        <c:axId val="1141743152"/>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331040"/>
        <c:crosses val="autoZero"/>
        <c:crossBetween val="between"/>
      </c:valAx>
      <c:spPr>
        <a:noFill/>
        <a:ln>
          <a:solidFill>
            <a:srgbClr val="00B05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1452010</xdr:colOff>
      <xdr:row>44</xdr:row>
      <xdr:rowOff>52294</xdr:rowOff>
    </xdr:from>
    <xdr:to>
      <xdr:col>5</xdr:col>
      <xdr:colOff>738909</xdr:colOff>
      <xdr:row>51</xdr:row>
      <xdr:rowOff>565727</xdr:rowOff>
    </xdr:to>
    <xdr:graphicFrame macro="">
      <xdr:nvGraphicFramePr>
        <xdr:cNvPr id="2" name="Chart 1">
          <a:extLst>
            <a:ext uri="{FF2B5EF4-FFF2-40B4-BE49-F238E27FC236}">
              <a16:creationId xmlns:a16="http://schemas.microsoft.com/office/drawing/2014/main" id="{8CE02A5A-8E8D-4043-9B22-971FA071DE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97119</xdr:colOff>
      <xdr:row>44</xdr:row>
      <xdr:rowOff>180973</xdr:rowOff>
    </xdr:from>
    <xdr:to>
      <xdr:col>4</xdr:col>
      <xdr:colOff>291353</xdr:colOff>
      <xdr:row>48</xdr:row>
      <xdr:rowOff>1329764</xdr:rowOff>
    </xdr:to>
    <xdr:graphicFrame macro="">
      <xdr:nvGraphicFramePr>
        <xdr:cNvPr id="2" name="Chart 1">
          <a:extLst>
            <a:ext uri="{FF2B5EF4-FFF2-40B4-BE49-F238E27FC236}">
              <a16:creationId xmlns:a16="http://schemas.microsoft.com/office/drawing/2014/main" id="{43891E6E-9A01-FC48-74DD-41849A9A2F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249974</xdr:colOff>
      <xdr:row>60</xdr:row>
      <xdr:rowOff>87347</xdr:rowOff>
    </xdr:from>
    <xdr:to>
      <xdr:col>4</xdr:col>
      <xdr:colOff>9072</xdr:colOff>
      <xdr:row>79</xdr:row>
      <xdr:rowOff>127825</xdr:rowOff>
    </xdr:to>
    <xdr:graphicFrame macro="">
      <xdr:nvGraphicFramePr>
        <xdr:cNvPr id="3" name="Chart 2">
          <a:extLst>
            <a:ext uri="{FF2B5EF4-FFF2-40B4-BE49-F238E27FC236}">
              <a16:creationId xmlns:a16="http://schemas.microsoft.com/office/drawing/2014/main" id="{99979B5D-F907-D52D-132A-8B39C3602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1092005</xdr:colOff>
      <xdr:row>45</xdr:row>
      <xdr:rowOff>92174</xdr:rowOff>
    </xdr:from>
    <xdr:to>
      <xdr:col>11</xdr:col>
      <xdr:colOff>143435</xdr:colOff>
      <xdr:row>48</xdr:row>
      <xdr:rowOff>1030958</xdr:rowOff>
    </xdr:to>
    <xdr:graphicFrame macro="">
      <xdr:nvGraphicFramePr>
        <xdr:cNvPr id="5" name="Chart 4">
          <a:extLst>
            <a:ext uri="{FF2B5EF4-FFF2-40B4-BE49-F238E27FC236}">
              <a16:creationId xmlns:a16="http://schemas.microsoft.com/office/drawing/2014/main" id="{C1F6878D-6404-6A82-175B-C92C15A52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97D3D1B-7E65-46C0-9EEC-1F63600CFFCC}" name="Table16" displayName="Table16" ref="B10:C18" totalsRowShown="0" headerRowDxfId="293" dataDxfId="291" headerRowBorderDxfId="292" tableBorderDxfId="290" totalsRowBorderDxfId="289">
  <autoFilter ref="B10:C18" xr:uid="{697D3D1B-7E65-46C0-9EEC-1F63600CFFCC}">
    <filterColumn colId="0" hiddenButton="1"/>
    <filterColumn colId="1" hiddenButton="1"/>
  </autoFilter>
  <tableColumns count="2">
    <tableColumn id="1" xr3:uid="{FB0E2D47-CD9D-4067-897E-D6B37E3552DB}" name="Parameter" dataDxfId="288"/>
    <tableColumn id="2" xr3:uid="{1B0EA80B-2A4C-469E-8A15-57A0FF6DB430}" name="Value" dataDxfId="287"/>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88FBA0-6CFE-4FD1-8E0A-296F2853DA74}" name="Table17" displayName="Table17" ref="E9:G22" totalsRowShown="0" headerRowDxfId="286" dataDxfId="284" headerRowBorderDxfId="285">
  <autoFilter ref="E9:G22" xr:uid="{8E88FBA0-6CFE-4FD1-8E0A-296F2853DA74}">
    <filterColumn colId="0" hiddenButton="1"/>
    <filterColumn colId="1" hiddenButton="1"/>
    <filterColumn colId="2" hiddenButton="1"/>
  </autoFilter>
  <tableColumns count="3">
    <tableColumn id="1" xr3:uid="{35A8A2A5-B927-42B7-82F6-3F671ECAD7B9}" name="Parameter" dataDxfId="283"/>
    <tableColumn id="2" xr3:uid="{06DFA800-3307-4C85-B5D3-DF475D19E940}" name="Base Case" dataDxfId="282"/>
    <tableColumn id="3" xr3:uid="{D3D33650-98C7-42DD-AF32-9C09CF70045D}" name="Unit" dataDxfId="28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89982E1-7FFA-4694-AE97-6E636A4D8D62}" name="Table18" displayName="Table18" ref="E57:F61" totalsRowShown="0" headerRowDxfId="280" dataDxfId="278" headerRowBorderDxfId="279" tableBorderDxfId="277" totalsRowBorderDxfId="276">
  <autoFilter ref="E57:F61" xr:uid="{589982E1-7FFA-4694-AE97-6E636A4D8D62}">
    <filterColumn colId="0" hiddenButton="1"/>
    <filterColumn colId="1" hiddenButton="1"/>
  </autoFilter>
  <tableColumns count="2">
    <tableColumn id="1" xr3:uid="{939567D0-2E67-4858-B9A2-6CD5F569FA80}" name="Risk" dataDxfId="275"/>
    <tableColumn id="2" xr3:uid="{6D6C0E9F-7C0E-45CF-AE60-FC5340FFBF59}" name="Business Impact" dataDxfId="27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E1AD0D-1971-4306-8665-B831EF167C7C}" name="Table1" displayName="Table1" ref="A3:E16" totalsRowShown="0" headerRowDxfId="316" dataDxfId="315">
  <autoFilter ref="A3:E16" xr:uid="{1BE1AD0D-1971-4306-8665-B831EF167C7C}"/>
  <tableColumns count="5">
    <tableColumn id="1" xr3:uid="{D1617979-2B63-475C-8795-AC0FAB5D0F9C}" name="Parameter" dataDxfId="314"/>
    <tableColumn id="2" xr3:uid="{6F5E767A-B913-4D21-B5A3-8FD0DCF61CCD}" name="Value" dataDxfId="313"/>
    <tableColumn id="3" xr3:uid="{1E613CF2-259D-450C-86A5-72F55D135825}" name="Unit" dataDxfId="312"/>
    <tableColumn id="4" xr3:uid="{128379DD-A34F-45B0-96CF-8BFD6189C3BD}" name="Source" dataDxfId="311"/>
    <tableColumn id="5" xr3:uid="{A72150AE-B5D0-401C-AAD0-2EB722FB5A58}" name="Notes" dataDxfId="3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CF0C5A-93EF-4A9F-9F87-DB5314BAB6B8}" name="Table2" displayName="Table2" ref="A21:E29" insertRowShift="1" totalsRowShown="0" headerRowDxfId="309" dataDxfId="307" headerRowBorderDxfId="308" tableBorderDxfId="306" totalsRowBorderDxfId="305">
  <autoFilter ref="A21:E29" xr:uid="{F8CF0C5A-93EF-4A9F-9F87-DB5314BAB6B8}">
    <filterColumn colId="0" hiddenButton="1"/>
    <filterColumn colId="1" hiddenButton="1"/>
    <filterColumn colId="2" hiddenButton="1"/>
    <filterColumn colId="3" hiddenButton="1"/>
    <filterColumn colId="4" hiddenButton="1"/>
  </autoFilter>
  <tableColumns count="5">
    <tableColumn id="1" xr3:uid="{55D69E6A-32C2-4502-AD37-6C6718FED014}" name="Parameter" dataDxfId="304"/>
    <tableColumn id="2" xr3:uid="{051AD234-8719-4F89-896B-22A410A16A59}" name="Value" dataDxfId="303"/>
    <tableColumn id="3" xr3:uid="{AEDCB30E-A9F8-4604-AC44-BF16F3912CDB}" name="Unit" dataDxfId="302"/>
    <tableColumn id="4" xr3:uid="{1727C5AD-C727-40FC-912E-7639F5162A7A}" name="Source" dataDxfId="301"/>
    <tableColumn id="5" xr3:uid="{FB56C90C-07F4-482B-A589-4D5EC3E4E639}" name="Notes" dataDxfId="300"/>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03DC30-2F40-4BE7-83A6-2F434E523C41}" name="Table1214" displayName="Table1214" ref="A55:D58" totalsRowShown="0" headerRowDxfId="299" dataDxfId="298">
  <autoFilter ref="A55:D58" xr:uid="{BE03DC30-2F40-4BE7-83A6-2F434E523C41}"/>
  <tableColumns count="4">
    <tableColumn id="1" xr3:uid="{FA35C2A3-9907-4E3E-AD21-6A3CD6766AFF}" name="Variable" dataDxfId="297"/>
    <tableColumn id="2" xr3:uid="{EBF82FF9-24B8-4917-84E7-24E7C85E32EE}" name="Base Case" dataDxfId="296"/>
    <tableColumn id="4" xr3:uid="{431CA81B-60DF-4D75-90A6-BFC302CF6A67}" name="Unit" dataDxfId="295"/>
    <tableColumn id="3" xr3:uid="{F35E9A32-9EA9-4970-BDE8-A3029570BDEB}" name="Scenarios" dataDxfId="294"/>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335671-A96E-4212-B923-D0990DB9F13B}" name="Table3" displayName="Table3" ref="A3:AB10" totalsRowShown="0" headerRowDxfId="273" dataDxfId="271" headerRowBorderDxfId="272" tableBorderDxfId="270" totalsRowBorderDxfId="269">
  <autoFilter ref="A3:AB10" xr:uid="{A8335671-A96E-4212-B923-D0990DB9F1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31B65648-85AD-439A-BF19-FA83531FDEE3}" name="Paremeter" dataDxfId="268"/>
    <tableColumn id="2" xr3:uid="{26C7BA46-528D-4D6F-9710-12607CF166DA}" name="Unit" dataDxfId="267"/>
    <tableColumn id="3" xr3:uid="{994298CC-5874-44E3-870A-0F121F1424A2}" name="Year 0" dataDxfId="266"/>
    <tableColumn id="4" xr3:uid="{7FD43474-C4E5-433A-8A8D-8D70302426FF}" name="Year 1" dataDxfId="265"/>
    <tableColumn id="5" xr3:uid="{B93A14A1-5DF7-4AF3-97DE-8ECCA14FC17D}" name="Year 2" dataDxfId="264"/>
    <tableColumn id="6" xr3:uid="{204B36B3-8042-4C0E-80FF-D4DCC337F4C7}" name="Year 3" dataDxfId="263"/>
    <tableColumn id="7" xr3:uid="{B3D197C9-0C63-4CD8-8F8C-FA7815D5499E}" name="Year 4" dataDxfId="262"/>
    <tableColumn id="8" xr3:uid="{717992C3-0AF6-451F-B2B7-D4F0D7EEF6D4}" name="Year 5" dataDxfId="261"/>
    <tableColumn id="9" xr3:uid="{C6987E84-3D09-43EF-AA72-9A9C251E027C}" name="Year 6" dataDxfId="260"/>
    <tableColumn id="10" xr3:uid="{7A353D05-FAC3-4E4B-BEC7-E2764CEBD25E}" name="Year 7" dataDxfId="259"/>
    <tableColumn id="11" xr3:uid="{5CE8E6E1-1ADD-470B-86AD-2D42761C8573}" name="Year 8" dataDxfId="258"/>
    <tableColumn id="12" xr3:uid="{AB554928-F9C2-4F31-9081-04B06D92082E}" name="Year 9" dataDxfId="257"/>
    <tableColumn id="13" xr3:uid="{DAC88628-5611-45B9-85E4-3F15212EFBD2}" name="Year 10" dataDxfId="256"/>
    <tableColumn id="14" xr3:uid="{1E9BDC1F-B423-43A7-A23A-2C289CDBBEDC}" name="Year 11" dataDxfId="255"/>
    <tableColumn id="15" xr3:uid="{F78651B5-D164-453C-97BA-52B26673208C}" name="Year 12" dataDxfId="254"/>
    <tableColumn id="16" xr3:uid="{E174DF49-D5CF-4FC8-86D7-1063E7F7897A}" name="Year 13" dataDxfId="253"/>
    <tableColumn id="17" xr3:uid="{94DEDE32-D927-41AE-9372-EC3ACFEB9E5D}" name="Year 14" dataDxfId="252"/>
    <tableColumn id="18" xr3:uid="{EE841209-EFCC-4093-AFFA-4902C5767F3B}" name="Year 15" dataDxfId="251"/>
    <tableColumn id="19" xr3:uid="{7E866C99-8FB2-4FB7-8D45-F36F316A7DB4}" name="Year 16" dataDxfId="250"/>
    <tableColumn id="20" xr3:uid="{692BF261-8F36-4C1E-B30C-C9DBB771A316}" name="Year 17" dataDxfId="249"/>
    <tableColumn id="21" xr3:uid="{D8AB120C-A17E-404A-8EF8-2EE817131898}" name="Year 18" dataDxfId="248"/>
    <tableColumn id="22" xr3:uid="{8773F8AF-5103-468F-8A40-8B7059387916}" name="Year 19" dataDxfId="247"/>
    <tableColumn id="23" xr3:uid="{0CF18AF2-70FD-4D9F-AFEC-BA55038C5F46}" name="Year 20" dataDxfId="246"/>
    <tableColumn id="24" xr3:uid="{00BB9B9F-F675-4595-88CB-13E0B445D3FF}" name="Year 21" dataDxfId="245"/>
    <tableColumn id="25" xr3:uid="{213EADD9-4FE8-47A0-95D5-EFA1F6070DEB}" name="Year 22" dataDxfId="244"/>
    <tableColumn id="26" xr3:uid="{B25A2959-C3C0-4B3A-8C9A-CFE4F9D01089}" name="Year 23" dataDxfId="243"/>
    <tableColumn id="27" xr3:uid="{58ED9336-A205-477B-BB2A-1939FBE9D60B}" name="Year 24" dataDxfId="242"/>
    <tableColumn id="28" xr3:uid="{2697FB65-F36A-42DC-B92E-A6C474F9E6F2}" name="Year 25" dataDxfId="241"/>
  </tableColumns>
  <tableStyleInfo name="TableStyleMedium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3F4E0CE-0DB6-4EC0-9937-9813738DE0A2}" name="Table35" displayName="Table35" ref="A3:AB6" totalsRowShown="0" headerRowDxfId="240" dataDxfId="238" headerRowBorderDxfId="239" tableBorderDxfId="237" totalsRowBorderDxfId="236">
  <autoFilter ref="A3:AB6" xr:uid="{E3F4E0CE-0DB6-4EC0-9937-9813738DE0A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0BE6A85-A069-4CF0-9F94-797BFD5C79C8}" name="Paremeter" dataDxfId="235"/>
    <tableColumn id="2" xr3:uid="{CC54BBED-5DFC-4D58-8763-552BFACAB601}" name="Unit" dataDxfId="234"/>
    <tableColumn id="3" xr3:uid="{37CFE662-0698-42AE-ABEB-C809FE608BE4}" name="Year 0" dataDxfId="233"/>
    <tableColumn id="4" xr3:uid="{1CDBBBEE-EA15-49F8-8648-A0FE45479629}" name="Year 1" dataDxfId="232"/>
    <tableColumn id="5" xr3:uid="{9C01E16C-F100-4408-BB7D-37903B106D15}" name="Year 2" dataDxfId="231"/>
    <tableColumn id="6" xr3:uid="{CCC49C4E-0C23-430A-BC01-9B3DC153B370}" name="Year 3" dataDxfId="230"/>
    <tableColumn id="7" xr3:uid="{D3AA7644-C4D3-478B-B186-D0369D2FF7D9}" name="Year 4" dataDxfId="229"/>
    <tableColumn id="8" xr3:uid="{FE33EEA3-7D1B-4EBC-A4DD-E9F900388A74}" name="Year 5" dataDxfId="228"/>
    <tableColumn id="9" xr3:uid="{2DCDDF9F-8441-4863-A03E-920624FD11C1}" name="Year 6" dataDxfId="227"/>
    <tableColumn id="10" xr3:uid="{9F4B29EE-DA6E-4EDC-992F-760C65CFC8E2}" name="Year 7" dataDxfId="226"/>
    <tableColumn id="11" xr3:uid="{693BE930-7B40-47B0-9888-B169BB286BDA}" name="Year 8" dataDxfId="225"/>
    <tableColumn id="12" xr3:uid="{CA62E134-6FAF-4825-9550-FC773E91B07D}" name="Year 9" dataDxfId="224"/>
    <tableColumn id="13" xr3:uid="{37993EDB-935D-4893-AC90-2F3B208508C3}" name="Year 10" dataDxfId="223"/>
    <tableColumn id="14" xr3:uid="{9AF3C49D-7768-4B8F-B5A5-BB07C472342B}" name="Year 11" dataDxfId="222"/>
    <tableColumn id="15" xr3:uid="{E891CE29-AFCA-4E2F-BF4E-B90B8FCCFB2A}" name="Year 12" dataDxfId="221"/>
    <tableColumn id="16" xr3:uid="{399EC54F-6D40-48E4-A356-811173AED612}" name="Year 13" dataDxfId="220"/>
    <tableColumn id="17" xr3:uid="{5CFEE6BF-8083-486F-994E-4504F1FA7E14}" name="Year 14" dataDxfId="219"/>
    <tableColumn id="18" xr3:uid="{FA55505A-E141-4448-BA8B-C79CEFFB385A}" name="Year 15" dataDxfId="218"/>
    <tableColumn id="19" xr3:uid="{E2F6A16C-01EC-4801-8B9E-FF4AD749D827}" name="Year 16" dataDxfId="217"/>
    <tableColumn id="20" xr3:uid="{7D186359-6B04-4264-9A14-E87410B023BF}" name="Year 17" dataDxfId="216"/>
    <tableColumn id="21" xr3:uid="{3F65BD72-1949-46A1-BC59-A687FB6C8737}" name="Year 18" dataDxfId="215"/>
    <tableColumn id="22" xr3:uid="{4A72B21B-D585-4B8F-8429-918D1A772621}" name="Year 19" dataDxfId="214"/>
    <tableColumn id="23" xr3:uid="{10C8075A-F032-4178-95E4-AE2697E379E7}" name="Year 20" dataDxfId="213"/>
    <tableColumn id="24" xr3:uid="{6D133E34-202A-486A-A1A4-FF12851FA66D}" name="Year 21" dataDxfId="212"/>
    <tableColumn id="25" xr3:uid="{0AA0B5C6-4BC0-411E-A7B8-5B190CCE5B97}" name="Year 22" dataDxfId="211"/>
    <tableColumn id="26" xr3:uid="{0F245DCE-29E5-45F3-8F7C-4E7590AA5AC8}" name="Year 23" dataDxfId="210"/>
    <tableColumn id="27" xr3:uid="{BFB6E96A-1D80-4C85-9CB6-2566CE4A56CF}" name="Year 24" dataDxfId="209"/>
    <tableColumn id="28" xr3:uid="{BD739E48-1965-4841-B055-626F81BCB590}" name="Year 25" dataDxfId="208"/>
  </tableColumns>
  <tableStyleInfo name="TableStyleMedium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F8544E-084D-4A4A-A3B1-72636047483D}" name="Table5" displayName="Table5" ref="A3:AB6" totalsRowShown="0" headerRowDxfId="207" dataDxfId="205" headerRowBorderDxfId="206" tableBorderDxfId="204" totalsRowBorderDxfId="203">
  <autoFilter ref="A3:AB6" xr:uid="{21F8544E-084D-4A4A-A3B1-7263604748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2AF920A-351A-43A2-9465-4D6C1AD19674}" name="Parameter" dataDxfId="202"/>
    <tableColumn id="2" xr3:uid="{DAD0C7B9-F727-4485-8DA7-873B7F7AED4B}" name="Unit" dataDxfId="201"/>
    <tableColumn id="3" xr3:uid="{1CF4F233-9A55-431A-9382-9560EF1FD11C}" name="Year 0" dataDxfId="200">
      <calculatedColumnFormula>'03_Revenues'!C6</calculatedColumnFormula>
    </tableColumn>
    <tableColumn id="4" xr3:uid="{593EA4EF-7ADC-48EE-A519-4D87417206C1}" name="Year 1" dataDxfId="199"/>
    <tableColumn id="5" xr3:uid="{AA48B8B0-4063-4D15-AC1A-30D06BB5B806}" name="Year 2" dataDxfId="198"/>
    <tableColumn id="6" xr3:uid="{327DBADE-92F3-403D-9860-D0C10413A137}" name="Year 3" dataDxfId="197"/>
    <tableColumn id="7" xr3:uid="{4CF519E7-F288-4E26-9637-7B57DF3BC206}" name="Year 4" dataDxfId="196"/>
    <tableColumn id="8" xr3:uid="{B42AEBDA-5FDA-448D-9C7B-913174692595}" name="Year 5" dataDxfId="195"/>
    <tableColumn id="9" xr3:uid="{9B27DF20-CB08-4049-ACFC-18C724304145}" name="Year 6" dataDxfId="194"/>
    <tableColumn id="10" xr3:uid="{A747011B-AA52-4A81-9379-71FC7192DDA8}" name="Year 7" dataDxfId="193"/>
    <tableColumn id="11" xr3:uid="{E1511584-DAEA-4BDE-9A57-4341D9B7C556}" name="Year 8" dataDxfId="192"/>
    <tableColumn id="12" xr3:uid="{F98ACF9A-3C5F-4839-91EB-74B36BA66F70}" name="Year 9" dataDxfId="191"/>
    <tableColumn id="13" xr3:uid="{40F7853F-518B-41CB-9A5E-34982BE0CCE2}" name="Year 10" dataDxfId="190"/>
    <tableColumn id="14" xr3:uid="{D2963CED-FF53-4181-B1E6-DCD8801DEBFF}" name="Year 11" dataDxfId="189"/>
    <tableColumn id="15" xr3:uid="{19E91A60-5E74-401D-9FA7-9E89933334FD}" name="Year 12" dataDxfId="188"/>
    <tableColumn id="16" xr3:uid="{79EA5FB7-CEB8-4747-BD64-9B43040A54E7}" name="Year 13" dataDxfId="187"/>
    <tableColumn id="17" xr3:uid="{0B3F3430-AB7D-4745-AE36-62511013AF06}" name="Year 14" dataDxfId="186"/>
    <tableColumn id="18" xr3:uid="{768B24D8-5BB0-4CD8-B0D5-82EB7F8E33E9}" name="Year 15" dataDxfId="185"/>
    <tableColumn id="19" xr3:uid="{89ACD963-A6C4-46BB-98B4-9272A68AB102}" name="Year 16" dataDxfId="184"/>
    <tableColumn id="20" xr3:uid="{A3C198AD-427B-4DCB-9F23-52E2BD64FD69}" name="Year 17" dataDxfId="183"/>
    <tableColumn id="21" xr3:uid="{A256DE3B-0A2F-47F5-8096-246EA6CE1524}" name="Year 18" dataDxfId="182"/>
    <tableColumn id="22" xr3:uid="{2662A721-5CDC-4F7E-8F09-4D01125EACB3}" name="Year 19" dataDxfId="181"/>
    <tableColumn id="23" xr3:uid="{7D0FDBC5-9F9D-4995-8E2B-F388F18E7907}" name="Year 20" dataDxfId="180"/>
    <tableColumn id="24" xr3:uid="{AA366A6E-B74E-4E7B-9F28-C489C84EFCEB}" name="Year 21" dataDxfId="179"/>
    <tableColumn id="25" xr3:uid="{1CCB9DB2-1756-44A7-9424-B607E8E0A46A}" name="Year 22" dataDxfId="178"/>
    <tableColumn id="26" xr3:uid="{F5A3CC47-F0BC-485A-9A75-1E984E5C9138}" name="Year 23" dataDxfId="177"/>
    <tableColumn id="27" xr3:uid="{0CE20EAF-A6E0-4BB2-B0BC-004EE34EC892}" name="Year 24" dataDxfId="176"/>
    <tableColumn id="28" xr3:uid="{9B7225B1-8E00-4A3E-B020-5E4DC34A9E9E}" name="Year 25" dataDxfId="17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EB38DBA-4CCD-4992-A97F-FFFCA802C447}" name="Table57" displayName="Table57" ref="A3:AB10" totalsRowShown="0" headerRowDxfId="174" dataDxfId="172" headerRowBorderDxfId="173" tableBorderDxfId="171" totalsRowBorderDxfId="170">
  <autoFilter ref="A3:AB10" xr:uid="{BEB38DBA-4CCD-4992-A97F-FFFCA802C4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2F819DA9-8045-4594-8D67-A11EB655653A}" name="Parameter" dataDxfId="169"/>
    <tableColumn id="2" xr3:uid="{1AE74A82-22D6-4FAD-B535-EB76A3A7BDDD}" name="Unit" dataDxfId="168"/>
    <tableColumn id="3" xr3:uid="{6D2C528F-8EA6-4DBE-9271-6AF47CEAE300}" name="Year 0" dataDxfId="167">
      <calculatedColumnFormula>'03_Revenues'!C6</calculatedColumnFormula>
    </tableColumn>
    <tableColumn id="4" xr3:uid="{B157E7D0-EF03-4221-B448-74DDCC90F468}" name="Year 1" dataDxfId="166"/>
    <tableColumn id="5" xr3:uid="{D3253DB4-4816-435F-8ABB-6C6E31CCA713}" name="Year 2" dataDxfId="165"/>
    <tableColumn id="6" xr3:uid="{12DD8A16-1E54-42C6-A319-9A952F56ECF5}" name="Year 3" dataDxfId="164"/>
    <tableColumn id="7" xr3:uid="{808E75B4-70BB-4127-AAEA-F7225AE90D02}" name="Year 4" dataDxfId="163"/>
    <tableColumn id="8" xr3:uid="{67C72E7E-E4FB-4A8F-848E-D38057E08B56}" name="Year 5" dataDxfId="162"/>
    <tableColumn id="9" xr3:uid="{4E1EA947-C8C7-4254-A65E-90F5D9FBF5C3}" name="Year 6" dataDxfId="161"/>
    <tableColumn id="10" xr3:uid="{2CE6469E-2E65-425A-8302-312D271B0192}" name="Year 7" dataDxfId="160"/>
    <tableColumn id="11" xr3:uid="{543E694B-F390-4349-B67E-1506989FCFC6}" name="Year 8" dataDxfId="159"/>
    <tableColumn id="12" xr3:uid="{1099F621-35B5-43B0-86CE-FAB2B92FB6EC}" name="Year 9" dataDxfId="158"/>
    <tableColumn id="13" xr3:uid="{49D74FD8-C0CA-469E-B5F6-BAAF436665BF}" name="Year 10" dataDxfId="157"/>
    <tableColumn id="14" xr3:uid="{3B8CBE38-722D-4FC5-9EEE-EA6A5442BE32}" name="Year 11" dataDxfId="156"/>
    <tableColumn id="15" xr3:uid="{A2BC90F6-F512-4B21-BE5B-8A7E00184A42}" name="Year 12" dataDxfId="155"/>
    <tableColumn id="16" xr3:uid="{19331FAD-8EF1-4AAC-90C5-E5BD445B44DE}" name="Year 13" dataDxfId="154"/>
    <tableColumn id="17" xr3:uid="{EBE5A3A0-0FE6-4494-B892-AE435A6DB0FB}" name="Year 14" dataDxfId="153"/>
    <tableColumn id="18" xr3:uid="{1EE0C8AB-4668-473B-8BDC-D21757B6CD80}" name="Year 15" dataDxfId="152"/>
    <tableColumn id="19" xr3:uid="{B0AC0F87-CF3D-4436-AC26-E89A41AF5A8A}" name="Year 16" dataDxfId="151"/>
    <tableColumn id="20" xr3:uid="{DE0F7967-E6B0-45A9-81FD-6A72FDDE34FD}" name="Year 17" dataDxfId="150"/>
    <tableColumn id="21" xr3:uid="{37B83CEA-DF2A-4696-925D-933CAEE6ECE6}" name="Year 18" dataDxfId="149"/>
    <tableColumn id="22" xr3:uid="{3698298C-AF9B-4944-8754-37C2850175DD}" name="Year 19" dataDxfId="148"/>
    <tableColumn id="23" xr3:uid="{700D0262-E6CF-40FC-A15D-40D10162B56B}" name="Year 20" dataDxfId="147"/>
    <tableColumn id="24" xr3:uid="{42569298-5A1B-447D-8605-017CE41CAF2A}" name="Year 21" dataDxfId="146"/>
    <tableColumn id="25" xr3:uid="{39065C73-D689-4B51-85F5-5B1565658BF6}" name="Year 22" dataDxfId="145"/>
    <tableColumn id="26" xr3:uid="{26D09F96-BDB1-47D1-8ACE-D319DD07351C}" name="Year 23" dataDxfId="144"/>
    <tableColumn id="27" xr3:uid="{46622D9C-7B6F-4488-9430-2ED121260425}" name="Year 24" dataDxfId="143"/>
    <tableColumn id="28" xr3:uid="{32E9ABA9-8EE6-47D4-962A-C6973A355505}" name="Year 25" dataDxfId="1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47FDBF3-804D-43F4-8426-1C44ECF99CEB}" name="Table578" displayName="Table578" ref="A3:AB12" totalsRowShown="0" headerRowDxfId="141" dataDxfId="139" headerRowBorderDxfId="140" tableBorderDxfId="138" totalsRowBorderDxfId="137">
  <autoFilter ref="A3:AB12" xr:uid="{847FDBF3-804D-43F4-8426-1C44ECF99C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D3780D3E-A1AE-4544-BD60-ADC401D78C80}" name="Parameter" dataDxfId="136"/>
    <tableColumn id="2" xr3:uid="{DF4BB4C0-573D-4D58-8218-8C6B6EDB8F89}" name="Unit" dataDxfId="135"/>
    <tableColumn id="3" xr3:uid="{281EC0A3-AD22-43FF-B1E3-00156ED0FCF5}" name="Year 0" dataDxfId="134">
      <calculatedColumnFormula>'03_Revenues'!C6</calculatedColumnFormula>
    </tableColumn>
    <tableColumn id="4" xr3:uid="{F62A0EF8-41A5-4459-A092-E04A081842B9}" name="Year 1" dataDxfId="133"/>
    <tableColumn id="5" xr3:uid="{FCCFB722-77BC-4E40-9FD6-68A24280DA56}" name="Year 2" dataDxfId="132">
      <calculatedColumnFormula>$C$5*D2</calculatedColumnFormula>
    </tableColumn>
    <tableColumn id="6" xr3:uid="{C12B0C05-C26E-40AB-AA9E-49CB6EF1DBF0}" name="Year 3" dataDxfId="131"/>
    <tableColumn id="7" xr3:uid="{592C04E6-3322-49BF-A4D8-1C9954238024}" name="Year 4" dataDxfId="130"/>
    <tableColumn id="8" xr3:uid="{8D608632-314E-4E9D-A6B3-FC1DA887FDD2}" name="Year 5" dataDxfId="129"/>
    <tableColumn id="9" xr3:uid="{7B67D754-FA56-4B52-96C1-27299A2D34AB}" name="Year 6" dataDxfId="128"/>
    <tableColumn id="10" xr3:uid="{38617A12-38BE-4ABE-B113-1BBC63563AEF}" name="Year 7" dataDxfId="127"/>
    <tableColumn id="11" xr3:uid="{A44A3EE3-0DD0-4818-A787-1C26BD104BD7}" name="Year 8" dataDxfId="126"/>
    <tableColumn id="12" xr3:uid="{31F450FD-753F-4EF5-B1AC-327F8FBCFEFA}" name="Year 9" dataDxfId="125"/>
    <tableColumn id="13" xr3:uid="{006195A2-63EC-466B-A27A-14F6D9CC97F9}" name="Year 10" dataDxfId="124"/>
    <tableColumn id="14" xr3:uid="{359891E1-BCB0-46E4-9F46-89898747A81D}" name="Year 11" dataDxfId="123"/>
    <tableColumn id="15" xr3:uid="{613C7B68-F5EC-41B1-8B4A-D90941FCCCC0}" name="Year 12" dataDxfId="122"/>
    <tableColumn id="16" xr3:uid="{A4D75558-E325-4FA2-BAF4-758532403C0E}" name="Year 13" dataDxfId="121"/>
    <tableColumn id="17" xr3:uid="{8ED2BFFC-5B79-4581-A391-E2BAE49E61B3}" name="Year 14" dataDxfId="120"/>
    <tableColumn id="18" xr3:uid="{EF3E789A-053D-4497-A2D0-A48087400DA7}" name="Year 15" dataDxfId="119"/>
    <tableColumn id="19" xr3:uid="{37711F68-AAD9-490E-9085-F8D3F80A0BBF}" name="Year 16" dataDxfId="118"/>
    <tableColumn id="20" xr3:uid="{24AC667F-4FE9-4E78-99AE-9B9D4191C11E}" name="Year 17" dataDxfId="117"/>
    <tableColumn id="21" xr3:uid="{35287B65-1755-42DF-B1B5-60A30AF2F902}" name="Year 18" dataDxfId="116"/>
    <tableColumn id="22" xr3:uid="{41FE5424-B743-4A18-940B-4D3C505E529E}" name="Year 19" dataDxfId="115"/>
    <tableColumn id="23" xr3:uid="{124B892D-8616-4E13-99CF-D3958AA8B5EF}" name="Year 20" dataDxfId="114"/>
    <tableColumn id="24" xr3:uid="{DE762EA1-ACBC-40C7-A920-D3151F3F35EB}" name="Year 21" dataDxfId="113"/>
    <tableColumn id="25" xr3:uid="{1EC4AF14-40A0-4F86-8380-3666FBA24518}" name="Year 22" dataDxfId="112"/>
    <tableColumn id="26" xr3:uid="{0544CE08-7CB7-4E26-992A-1BD4FE124C2F}" name="Year 23" dataDxfId="111"/>
    <tableColumn id="27" xr3:uid="{C271B413-4AE0-40F7-8BD3-F838EE3C1995}" name="Year 24" dataDxfId="110"/>
    <tableColumn id="28" xr3:uid="{3E257FA3-D3CC-49A6-B983-0FD263659B82}" name="Year 25" dataDxfId="10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32D056-9EC6-4828-9753-B40CBF14785B}" name="Table8" displayName="Table8" ref="A3:AB13" totalsRowShown="0" headerRowDxfId="108" dataDxfId="106" headerRowBorderDxfId="107" tableBorderDxfId="105" totalsRowBorderDxfId="104">
  <autoFilter ref="A3:AB13" xr:uid="{EC32D056-9EC6-4828-9753-B40CBF14785B}"/>
  <tableColumns count="28">
    <tableColumn id="1" xr3:uid="{10BFDC40-1EBE-4AE7-859E-7588BAAAAF45}" name="Parameter" dataDxfId="103"/>
    <tableColumn id="2" xr3:uid="{66C2FC57-4683-485E-B12D-03E422320151}" name="Unit" dataDxfId="102"/>
    <tableColumn id="3" xr3:uid="{BB24C2F6-E0DA-4102-97E6-8400294B36F9}" name="Year 0" dataDxfId="101" dataCellStyle="Percent"/>
    <tableColumn id="4" xr3:uid="{CB46568C-A4B6-4C68-BF42-FB66F61108CE}" name="Year 1" dataDxfId="100" dataCellStyle="Percent"/>
    <tableColumn id="5" xr3:uid="{F5464250-59F5-405A-A27C-10560351A941}" name="Year 2" dataDxfId="99" dataCellStyle="Percent"/>
    <tableColumn id="6" xr3:uid="{8357B591-F98F-4292-AA32-4B293591FAF3}" name="Year 3" dataDxfId="98" dataCellStyle="Percent"/>
    <tableColumn id="7" xr3:uid="{4B100F2B-0A12-4371-9DFB-2F58EDA28B4A}" name="Year 4" dataDxfId="97" dataCellStyle="Percent"/>
    <tableColumn id="8" xr3:uid="{BD4EE2F2-A432-421F-B3BA-C4F1FA2ADE2B}" name="Year 5" dataDxfId="96" dataCellStyle="Percent"/>
    <tableColumn id="9" xr3:uid="{234B1DA5-66EE-4335-9DFB-3CED486C066B}" name="Year 6" dataDxfId="95" dataCellStyle="Percent"/>
    <tableColumn id="10" xr3:uid="{6182E75D-6264-4C83-8C8D-E4B57C595B2F}" name="Year 7" dataDxfId="94" dataCellStyle="Percent"/>
    <tableColumn id="11" xr3:uid="{96EFCE6C-0304-4349-8E1F-D20EA10C0D94}" name="Year 8" dataDxfId="93" dataCellStyle="Percent"/>
    <tableColumn id="12" xr3:uid="{58F0969F-207E-4F9E-B540-6928F123F64A}" name="Year 9" dataDxfId="92" dataCellStyle="Percent"/>
    <tableColumn id="13" xr3:uid="{0C69C361-8E96-4CD4-B920-031502C8C6F1}" name="Year 10" dataDxfId="91" dataCellStyle="Percent"/>
    <tableColumn id="14" xr3:uid="{AB9A18BA-65EA-43B4-BCB9-96E9D52BA9E5}" name="Year 11" dataDxfId="90" dataCellStyle="Percent"/>
    <tableColumn id="15" xr3:uid="{DDC18671-E787-4D44-AFD5-738B8859ECBE}" name="Year 12" dataDxfId="89" dataCellStyle="Percent"/>
    <tableColumn id="16" xr3:uid="{8134D7E6-83CA-4FC3-9E2C-209356D76B51}" name="Year 13" dataDxfId="88" dataCellStyle="Percent"/>
    <tableColumn id="17" xr3:uid="{10A84EFA-E373-46C0-9EA9-2C2E9830EFCE}" name="Year 14" dataDxfId="87" dataCellStyle="Percent"/>
    <tableColumn id="18" xr3:uid="{D46C634A-FE64-43F6-A2C3-A5DBF8261B20}" name="Year 15" dataDxfId="86" dataCellStyle="Percent"/>
    <tableColumn id="19" xr3:uid="{E8BB8CF3-D0FA-4615-918A-1F7D8A319E8F}" name="Year 16" dataDxfId="85" dataCellStyle="Percent"/>
    <tableColumn id="20" xr3:uid="{0072CE99-2AA6-4BEC-A186-6D33C5DED231}" name="Year 17" dataDxfId="84" dataCellStyle="Percent"/>
    <tableColumn id="21" xr3:uid="{EE0C28DA-3946-4B52-A323-F0AF8446F4C1}" name="Year 18" dataDxfId="83" dataCellStyle="Percent"/>
    <tableColumn id="22" xr3:uid="{2A46951A-4DE4-45CD-A0AE-6A32A80538ED}" name="Year 19" dataDxfId="82" dataCellStyle="Percent"/>
    <tableColumn id="23" xr3:uid="{B378A739-A4D2-402F-8B10-77392BE659D9}" name="Year 20" dataDxfId="81" dataCellStyle="Percent"/>
    <tableColumn id="24" xr3:uid="{0A372D3E-9BAF-4F93-85D0-0B3CFA87C0F0}" name="Year 21" dataDxfId="80" dataCellStyle="Percent"/>
    <tableColumn id="25" xr3:uid="{48EB22ED-89D6-4FDA-AB33-350437BD626B}" name="Year 22" dataDxfId="79" dataCellStyle="Percent"/>
    <tableColumn id="26" xr3:uid="{5AA9A160-8CB5-4E2F-A22C-2AA3E57DB712}" name="Year 23" dataDxfId="78" dataCellStyle="Percent"/>
    <tableColumn id="27" xr3:uid="{7666A8F1-D68C-4C1D-B434-50EE86BD9517}" name="Year 24" dataDxfId="77" dataCellStyle="Percent"/>
    <tableColumn id="28" xr3:uid="{5CD0B65A-F305-4EB2-99C6-64159BB8D09A}" name="Year 25" dataDxfId="76" dataCellStyle="Percent"/>
  </tableColumns>
  <tableStyleInfo name="TableStyleMedium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54802AF-5D85-427A-989C-8ED39CB17B05}" name="Table10" displayName="Table10" ref="A3:AB9" totalsRowShown="0" headerRowDxfId="75" dataDxfId="73" headerRowBorderDxfId="74" tableBorderDxfId="72" totalsRowBorderDxfId="71">
  <autoFilter ref="A3:AB9" xr:uid="{A54802AF-5D85-427A-989C-8ED39CB17B0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8F5C00BE-7529-4FDD-97F7-836B7C8E268F}" name="Parameter" dataDxfId="70"/>
    <tableColumn id="2" xr3:uid="{D9636149-B882-4E38-B0CC-E0FF425603B5}" name="Unit" dataDxfId="69"/>
    <tableColumn id="3" xr3:uid="{F219F58B-EAFE-45DC-824B-858C8B7CB20C}" name="Year 0" dataDxfId="68">
      <calculatedColumnFormula>'07_Cash_Flow'!C13</calculatedColumnFormula>
    </tableColumn>
    <tableColumn id="4" xr3:uid="{777076F6-A901-4406-9872-7FC8BA6F52C9}" name="Year 1" dataDxfId="67"/>
    <tableColumn id="5" xr3:uid="{74E03D51-308B-43FB-8852-835503449FBE}" name="Year 2" dataDxfId="66"/>
    <tableColumn id="6" xr3:uid="{D3BE8668-DF2B-40D2-9C3F-6D3F379AE328}" name="Year 3" dataDxfId="65"/>
    <tableColumn id="7" xr3:uid="{39A6FD97-65CA-4DC9-A081-5552167A2CC4}" name="Year 4" dataDxfId="64"/>
    <tableColumn id="8" xr3:uid="{DB414952-AEC6-4650-A659-DFC584CD4836}" name="Year 5" dataDxfId="63"/>
    <tableColumn id="9" xr3:uid="{767428CF-0B8F-4D12-97D9-24DE58D14A9A}" name="Year 6" dataDxfId="62"/>
    <tableColumn id="10" xr3:uid="{A9C06319-0C33-405E-B88D-A02CEB8CA992}" name="Year 7" dataDxfId="61"/>
    <tableColumn id="11" xr3:uid="{374DCBE8-E88D-4FBB-8CB6-78DF63F3B7C4}" name="Year 8" dataDxfId="60"/>
    <tableColumn id="12" xr3:uid="{482567F2-A915-4840-90B1-989D9D9804A1}" name="Year 9" dataDxfId="59"/>
    <tableColumn id="13" xr3:uid="{5561A369-DA25-43DC-BEDA-C89F31A1B082}" name="Year 10" dataDxfId="58"/>
    <tableColumn id="14" xr3:uid="{454BA9B8-F177-45A5-B137-3511709FF286}" name="Year 11" dataDxfId="57"/>
    <tableColumn id="15" xr3:uid="{6B6D3396-F3CD-4DA4-BAF9-F14246086BF3}" name="Year 12" dataDxfId="56"/>
    <tableColumn id="16" xr3:uid="{79A61549-FEED-4037-8A6B-979D9BE5711F}" name="Year 13" dataDxfId="55"/>
    <tableColumn id="17" xr3:uid="{F45AF61D-014A-4657-B84C-43C6923405FF}" name="Year 14" dataDxfId="54"/>
    <tableColumn id="18" xr3:uid="{3EE8251E-9C0D-418F-B6B6-57C1FDEF7D54}" name="Year 15" dataDxfId="53"/>
    <tableColumn id="19" xr3:uid="{B26C49DB-041C-4926-884B-5A6FDF6B34A5}" name="Year 16" dataDxfId="52"/>
    <tableColumn id="20" xr3:uid="{9333DE9C-1296-43F9-9A5D-7519DD3891FC}" name="Year 17" dataDxfId="51"/>
    <tableColumn id="21" xr3:uid="{C0788BBF-F3EA-4D89-A420-2D9497678AF1}" name="Year 18" dataDxfId="50"/>
    <tableColumn id="22" xr3:uid="{F6B37347-3EBD-488A-AB9B-25936EA14860}" name="Year 19" dataDxfId="49"/>
    <tableColumn id="23" xr3:uid="{D63C43BE-ACCF-4B57-B365-19AE1AB76F6B}" name="Year 20" dataDxfId="48"/>
    <tableColumn id="24" xr3:uid="{C0A0A2E7-5083-4D59-961A-78BF2F060D3C}" name="Year 21" dataDxfId="47"/>
    <tableColumn id="25" xr3:uid="{5C7B2060-7D5C-469D-9783-96C78D73345C}" name="Year 22" dataDxfId="46"/>
    <tableColumn id="26" xr3:uid="{32E03359-6856-486D-AA46-B323C33C5791}" name="Year 23" dataDxfId="45"/>
    <tableColumn id="27" xr3:uid="{83E9ED20-E826-4F7D-A16D-2D2653670130}" name="Year 24" dataDxfId="44"/>
    <tableColumn id="28" xr3:uid="{0F517BB9-0A73-49DF-A7BC-20303D6BA539}" name="Year 25" dataDxfId="43"/>
  </tableColumns>
  <tableStyleInfo name="TableStyleMedium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0480495-0C9B-40E9-816A-65850682EB32}" name="Table1012" displayName="Table1012" ref="A3:C11" totalsRowShown="0" headerRowDxfId="42" dataDxfId="40" headerRowBorderDxfId="41" tableBorderDxfId="39" totalsRowBorderDxfId="38">
  <autoFilter ref="A3:C11" xr:uid="{10480495-0C9B-40E9-816A-65850682EB32}">
    <filterColumn colId="0" hiddenButton="1"/>
    <filterColumn colId="1" hiddenButton="1"/>
    <filterColumn colId="2" hiddenButton="1"/>
  </autoFilter>
  <tableColumns count="3">
    <tableColumn id="1" xr3:uid="{23171DA0-33DE-42B1-BEE8-FF1900AD0460}" name="Parameter" dataDxfId="37"/>
    <tableColumn id="2" xr3:uid="{55EDB194-40BC-43A2-BCED-405928BCE2A4}" name="Unit" dataDxfId="36"/>
    <tableColumn id="3" xr3:uid="{1515CE21-9FDD-4AB7-B3B8-EF987D89C711}" name="Result" dataDxfId="35">
      <calculatedColumnFormula>'01_Assumptions'!B11*10^6</calculatedColumnFormula>
    </tableColumn>
  </tableColumns>
  <tableStyleInfo name="TableStyleMedium5"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AE6BAD5-1CF0-4F1E-85A4-BA686FEABF7E}" name="Table12" displayName="Table12" ref="A5:I8" totalsRowShown="0" headerRowDxfId="34" dataDxfId="32" headerRowBorderDxfId="33" tableBorderDxfId="31" totalsRowBorderDxfId="30">
  <autoFilter ref="A5:I8" xr:uid="{CAE6BAD5-1CF0-4F1E-85A4-BA686FEABF7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BF8E4EB-2460-40AF-8EDF-AA20A91C12C0}" name="Variable" dataDxfId="29"/>
    <tableColumn id="2" xr3:uid="{2A9E2123-7569-485D-9834-EF3525595048}" name="Base Case" dataDxfId="28"/>
    <tableColumn id="4" xr3:uid="{B589E29F-7ABF-4C62-8D07-749A29BD9A0A}" name="Unit" dataDxfId="27"/>
    <tableColumn id="3" xr3:uid="{9085D0A5-E261-40E3-B51E-6E7BAC539812}" name="(%) of change" dataDxfId="26"/>
    <tableColumn id="5" xr3:uid="{22286126-DFEE-456B-B854-6028EFFD8E1F}" name="Scenario 1" dataDxfId="25">
      <calculatedColumnFormula>Table12[[#This Row],[Base Case]]*(1-0.2)</calculatedColumnFormula>
    </tableColumn>
    <tableColumn id="6" xr3:uid="{7FD83F71-A771-4020-97DC-AAEDB14AC853}" name="Scenario 2" dataDxfId="24">
      <calculatedColumnFormula>Table12[[#This Row],[Base Case]]*(1-0.1)</calculatedColumnFormula>
    </tableColumn>
    <tableColumn id="7" xr3:uid="{A8B2E0BA-BC07-4039-A208-9D5003CB1ADC}" name="Scenario 3" dataDxfId="23">
      <calculatedColumnFormula>Table12[[#This Row],[Base Case]]*(1+0)</calculatedColumnFormula>
    </tableColumn>
    <tableColumn id="8" xr3:uid="{FEF7D04A-B9C6-422E-9384-23F05B163991}" name="Scenario 4" dataDxfId="22">
      <calculatedColumnFormula>Table12[[#This Row],[Base Case]]*(1+0.1)</calculatedColumnFormula>
    </tableColumn>
    <tableColumn id="9" xr3:uid="{10E8536A-43E2-4414-8B84-4F81A1AB3F17}" name="Scenario 5" dataDxfId="21">
      <calculatedColumnFormula>Table12[[#This Row],[Base Case]]*(1+0.2)</calculatedColumnFormula>
    </tableColumn>
  </tableColumns>
  <tableStyleInfo name="TableStyleMedium4"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DF4FE45-C142-42E8-876E-0FFF7941792C}" name="Table14" displayName="Table14" ref="A39:D44" totalsRowShown="0" headerRowDxfId="20" dataDxfId="19" tableBorderDxfId="18">
  <autoFilter ref="A39:D44" xr:uid="{FDF4FE45-C142-42E8-876E-0FFF7941792C}">
    <filterColumn colId="0" hiddenButton="1"/>
    <filterColumn colId="1" hiddenButton="1"/>
    <filterColumn colId="2" hiddenButton="1"/>
    <filterColumn colId="3" hiddenButton="1"/>
  </autoFilter>
  <tableColumns count="4">
    <tableColumn id="1" xr3:uid="{C1135003-0C04-43BE-83E7-41E0539E6F4B}" name="(%) of change" dataDxfId="17"/>
    <tableColumn id="2" xr3:uid="{E18FEDEE-49ED-4D6B-B519-87B9DD2BF3C8}" name="PPA Price" dataDxfId="16">
      <calculatedColumnFormula>D13</calculatedColumnFormula>
    </tableColumn>
    <tableColumn id="3" xr3:uid="{5ED830E9-D7A9-4DE0-BBC8-8C1F2E9C3C4C}" name="CAPEX" dataDxfId="15">
      <calculatedColumnFormula>D22</calculatedColumnFormula>
    </tableColumn>
    <tableColumn id="4" xr3:uid="{DDBBB23F-2911-4F64-B39E-EACAAA90DEE6}" name="Capacity Factor" dataDxfId="14">
      <calculatedColumnFormula>D31</calculatedColumnFormula>
    </tableColumn>
  </tableColumns>
  <tableStyleInfo name="TableStyleMedium4"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44C4106-0C5F-4CB5-8274-25CBD0F84486}" name="Table1416" displayName="Table1416" ref="A54:D59" totalsRowShown="0" headerRowDxfId="13" dataDxfId="12" tableBorderDxfId="11">
  <autoFilter ref="A54:D59" xr:uid="{D44C4106-0C5F-4CB5-8274-25CBD0F84486}">
    <filterColumn colId="0" hiddenButton="1"/>
    <filterColumn colId="1" hiddenButton="1"/>
    <filterColumn colId="2" hiddenButton="1"/>
    <filterColumn colId="3" hiddenButton="1"/>
  </autoFilter>
  <tableColumns count="4">
    <tableColumn id="1" xr3:uid="{18E97237-DC2E-4B9D-9F90-BF357E115631}" name="(%) of change" dataDxfId="10"/>
    <tableColumn id="2" xr3:uid="{EC3927BF-66F4-4C8F-94F9-A8D4054E7201}" name="PPA Price" dataDxfId="9">
      <calculatedColumnFormula>E31</calculatedColumnFormula>
    </tableColumn>
    <tableColumn id="3" xr3:uid="{F92F4453-A583-4389-BA70-A6E03306F678}" name="CAPEX" dataDxfId="8">
      <calculatedColumnFormula>E22</calculatedColumnFormula>
    </tableColumn>
    <tableColumn id="4" xr3:uid="{4A0791D2-895C-461E-A882-3CF78817D2A5}" name="Capacity Factor" dataDxfId="7">
      <calculatedColumnFormula>E31</calculatedColumnFormula>
    </tableColumn>
  </tableColumns>
  <tableStyleInfo name="TableStyleMedium4"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E3AFA97-C5F3-4C84-8F83-8FFF73234F54}" name="Table9" displayName="Table9" ref="F39:H42" totalsRowShown="0" headerRowDxfId="6" headerRowBorderDxfId="5" tableBorderDxfId="3" totalsRowBorderDxfId="4">
  <autoFilter ref="F39:H42" xr:uid="{8E3AFA97-C5F3-4C84-8F83-8FFF73234F54}"/>
  <tableColumns count="3">
    <tableColumn id="1" xr3:uid="{1E2EA833-3A45-4F5B-A496-FBFD9DE4F53C}" name="Variable" dataDxfId="2"/>
    <tableColumn id="2" xr3:uid="{12B7D924-E400-4D30-A6CF-F0D2027E0100}" name="-10% Impact" dataDxfId="1"/>
    <tableColumn id="3" xr3:uid="{F6506C15-A5C3-4B3F-BA4F-BE8296FFF244}" name="+10% Impac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solardataatlas.com/en/data-solar-wacc-europe" TargetMode="External"/><Relationship Id="rId13" Type="http://schemas.openxmlformats.org/officeDocument/2006/relationships/table" Target="../tables/table6.xml"/><Relationship Id="rId3" Type="http://schemas.openxmlformats.org/officeDocument/2006/relationships/hyperlink" Target="https://greensolver.net/articles/solar-panel-degradation-rates/" TargetMode="External"/><Relationship Id="rId7" Type="http://schemas.openxmlformats.org/officeDocument/2006/relationships/hyperlink" Target="https://www.impots.gouv.fr/international-professionnel/impot-sur-les-societes?" TargetMode="External"/><Relationship Id="rId12" Type="http://schemas.openxmlformats.org/officeDocument/2006/relationships/table" Target="../tables/table5.xml"/><Relationship Id="rId2" Type="http://schemas.openxmlformats.org/officeDocument/2006/relationships/hyperlink" Target="https://www.solardataatlas.com/en/data-solar-opex-europe" TargetMode="External"/><Relationship Id="rId1" Type="http://schemas.openxmlformats.org/officeDocument/2006/relationships/hyperlink" Target="https://www.solardataatlas.com/en/data-solar-capex-europe" TargetMode="External"/><Relationship Id="rId6" Type="http://schemas.openxmlformats.org/officeDocument/2006/relationships/hyperlink" Target="https://analysesetdonnees.rte-france.com/en/generation/solar" TargetMode="External"/><Relationship Id="rId11" Type="http://schemas.openxmlformats.org/officeDocument/2006/relationships/table" Target="../tables/table4.xml"/><Relationship Id="rId5" Type="http://schemas.openxmlformats.org/officeDocument/2006/relationships/hyperlink" Target="https://www.banque-france.fr/fr/publications-et-statistiques/publications/quest-ce-que-la-politique-monetaire" TargetMode="External"/><Relationship Id="rId10" Type="http://schemas.openxmlformats.org/officeDocument/2006/relationships/hyperlink" Target="https://www.solardataatlas.com/en/data-solar-wacc-europe" TargetMode="External"/><Relationship Id="rId4" Type="http://schemas.openxmlformats.org/officeDocument/2006/relationships/hyperlink" Target="https://www.solardataatlas.com/en/data-solar-ppa-prices-europe" TargetMode="External"/><Relationship Id="rId9" Type="http://schemas.openxmlformats.org/officeDocument/2006/relationships/hyperlink" Target="https://www.solardataatlas.com/en/data-solar-wacc-europ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CB60-B3CB-4DB0-9A1B-4E8A7861E244}">
  <dimension ref="A1:L97"/>
  <sheetViews>
    <sheetView showGridLines="0" topLeftCell="A67" zoomScale="85" zoomScaleNormal="85" workbookViewId="0">
      <selection activeCell="F74" sqref="F74"/>
    </sheetView>
  </sheetViews>
  <sheetFormatPr defaultRowHeight="14.5" x14ac:dyDescent="0.35"/>
  <cols>
    <col min="1" max="1" width="2" style="1" customWidth="1"/>
    <col min="2" max="2" width="31.08984375" style="1" customWidth="1"/>
    <col min="3" max="3" width="24.81640625" style="1" customWidth="1"/>
    <col min="4" max="4" width="33.7265625" style="1" customWidth="1"/>
    <col min="5" max="5" width="23" style="1" customWidth="1"/>
    <col min="6" max="6" width="35.6328125" style="1" customWidth="1"/>
    <col min="7" max="7" width="17.1796875" style="1" customWidth="1"/>
    <col min="8" max="8" width="12.1796875" style="1" customWidth="1"/>
    <col min="9" max="9" width="14.54296875" style="1" customWidth="1"/>
    <col min="10" max="10" width="11.453125" style="1" customWidth="1"/>
    <col min="11" max="11" width="6.1796875" style="1" customWidth="1"/>
    <col min="12" max="16384" width="8.7265625" style="1"/>
  </cols>
  <sheetData>
    <row r="1" spans="2:12" ht="9" customHeight="1" x14ac:dyDescent="0.35"/>
    <row r="2" spans="2:12" ht="29" customHeight="1" x14ac:dyDescent="0.35">
      <c r="B2" s="306" t="s">
        <v>171</v>
      </c>
      <c r="C2" s="306"/>
      <c r="D2" s="306"/>
      <c r="E2" s="306"/>
      <c r="F2" s="306"/>
      <c r="G2" s="306"/>
      <c r="H2" s="30"/>
      <c r="I2" s="30"/>
      <c r="J2" s="30"/>
      <c r="K2" s="30"/>
      <c r="L2" s="30"/>
    </row>
    <row r="3" spans="2:12" ht="9" customHeight="1" x14ac:dyDescent="0.35">
      <c r="B3" s="4"/>
      <c r="C3" s="4"/>
      <c r="D3" s="4"/>
      <c r="E3" s="4"/>
      <c r="F3" s="4"/>
      <c r="G3" s="4"/>
      <c r="H3" s="4"/>
      <c r="I3" s="4"/>
      <c r="J3" s="4"/>
      <c r="K3" s="4"/>
      <c r="L3" s="4"/>
    </row>
    <row r="4" spans="2:12" ht="18.5" x14ac:dyDescent="0.45">
      <c r="B4" s="305" t="s">
        <v>172</v>
      </c>
      <c r="C4" s="305"/>
      <c r="D4" s="305"/>
      <c r="E4" s="305"/>
      <c r="F4" s="305"/>
      <c r="G4" s="305"/>
      <c r="H4" s="31"/>
      <c r="I4" s="31"/>
      <c r="J4" s="31"/>
      <c r="K4" s="31"/>
      <c r="L4" s="31"/>
    </row>
    <row r="7" spans="2:12" ht="21" x14ac:dyDescent="0.35">
      <c r="B7" s="300" t="s">
        <v>156</v>
      </c>
      <c r="C7" s="300"/>
      <c r="E7" s="300" t="s">
        <v>174</v>
      </c>
      <c r="F7" s="300"/>
      <c r="G7" s="300"/>
      <c r="H7" s="10"/>
    </row>
    <row r="9" spans="2:12" ht="16" x14ac:dyDescent="0.35">
      <c r="E9" s="13" t="s">
        <v>4</v>
      </c>
      <c r="F9" s="13" t="s">
        <v>135</v>
      </c>
      <c r="G9" s="13" t="s">
        <v>6</v>
      </c>
    </row>
    <row r="10" spans="2:12" ht="16" x14ac:dyDescent="0.35">
      <c r="B10" s="13" t="s">
        <v>4</v>
      </c>
      <c r="C10" s="13" t="s">
        <v>5</v>
      </c>
      <c r="E10" s="20" t="s">
        <v>8</v>
      </c>
      <c r="F10" s="21">
        <f>'01_Assumptions'!B11</f>
        <v>85</v>
      </c>
      <c r="G10" s="21" t="str">
        <f>'01_Assumptions'!C11</f>
        <v>M€</v>
      </c>
    </row>
    <row r="11" spans="2:12" ht="16" x14ac:dyDescent="0.35">
      <c r="B11" s="18" t="s">
        <v>157</v>
      </c>
      <c r="C11" s="18" t="s">
        <v>158</v>
      </c>
      <c r="E11" s="22" t="s">
        <v>9</v>
      </c>
      <c r="F11" s="23">
        <f>'01_Assumptions'!B12</f>
        <v>1.1000000000000001</v>
      </c>
      <c r="G11" s="23" t="str">
        <f>'01_Assumptions'!C12</f>
        <v>M€/year</v>
      </c>
    </row>
    <row r="12" spans="2:12" ht="16" x14ac:dyDescent="0.35">
      <c r="B12" s="19" t="s">
        <v>159</v>
      </c>
      <c r="C12" s="19" t="s">
        <v>30</v>
      </c>
      <c r="E12" s="20" t="s">
        <v>85</v>
      </c>
      <c r="F12" s="24">
        <f>'01_Assumptions'!B10</f>
        <v>0.14099999999999999</v>
      </c>
      <c r="G12" s="24" t="str">
        <f>'01_Assumptions'!C10</f>
        <v>%</v>
      </c>
    </row>
    <row r="13" spans="2:12" ht="16" x14ac:dyDescent="0.35">
      <c r="B13" s="18" t="s">
        <v>160</v>
      </c>
      <c r="C13" s="18" t="s">
        <v>161</v>
      </c>
      <c r="E13" s="22" t="s">
        <v>175</v>
      </c>
      <c r="F13" s="25">
        <f>'01_Assumptions'!B16</f>
        <v>0.14000000000000001</v>
      </c>
      <c r="G13" s="25" t="str">
        <f>'01_Assumptions'!C16</f>
        <v>%</v>
      </c>
    </row>
    <row r="14" spans="2:12" ht="16" x14ac:dyDescent="0.35">
      <c r="B14" s="19" t="s">
        <v>162</v>
      </c>
      <c r="C14" s="19" t="s">
        <v>163</v>
      </c>
      <c r="E14" s="20" t="s">
        <v>176</v>
      </c>
      <c r="F14" s="24">
        <f>'01_Assumptions'!B13</f>
        <v>5.0000000000000001E-3</v>
      </c>
      <c r="G14" s="24" t="str">
        <f>'01_Assumptions'!C13</f>
        <v>%/year</v>
      </c>
    </row>
    <row r="15" spans="2:12" ht="16" x14ac:dyDescent="0.35">
      <c r="B15" s="18" t="s">
        <v>164</v>
      </c>
      <c r="C15" s="18" t="s">
        <v>165</v>
      </c>
      <c r="E15" s="22" t="s">
        <v>177</v>
      </c>
      <c r="F15" s="23">
        <f>'01_Assumptions'!B14</f>
        <v>59</v>
      </c>
      <c r="G15" s="23" t="str">
        <f>'01_Assumptions'!C14</f>
        <v>€/MWh</v>
      </c>
    </row>
    <row r="16" spans="2:12" ht="32" x14ac:dyDescent="0.35">
      <c r="B16" s="19" t="s">
        <v>166</v>
      </c>
      <c r="C16" s="19" t="s">
        <v>167</v>
      </c>
      <c r="E16" s="20" t="s">
        <v>178</v>
      </c>
      <c r="F16" s="24">
        <f>'01_Assumptions'!B15</f>
        <v>0.02</v>
      </c>
      <c r="G16" s="24" t="str">
        <f>'01_Assumptions'!C15</f>
        <v>%</v>
      </c>
    </row>
    <row r="17" spans="2:7" ht="16" x14ac:dyDescent="0.35">
      <c r="B17" s="18" t="s">
        <v>168</v>
      </c>
      <c r="C17" s="18" t="s">
        <v>169</v>
      </c>
      <c r="E17" s="22" t="s">
        <v>179</v>
      </c>
      <c r="F17" s="25">
        <f>'01_Assumptions'!B22</f>
        <v>0.25</v>
      </c>
      <c r="G17" s="25" t="str">
        <f>'01_Assumptions'!C22</f>
        <v>%</v>
      </c>
    </row>
    <row r="18" spans="2:7" ht="16" x14ac:dyDescent="0.4">
      <c r="B18" s="19" t="s">
        <v>170</v>
      </c>
      <c r="C18" s="19">
        <v>2026</v>
      </c>
      <c r="E18" s="20" t="s">
        <v>180</v>
      </c>
      <c r="F18" s="21" t="s">
        <v>181</v>
      </c>
      <c r="G18" s="26" t="s">
        <v>121</v>
      </c>
    </row>
    <row r="19" spans="2:7" ht="16" x14ac:dyDescent="0.35">
      <c r="E19" s="22" t="s">
        <v>182</v>
      </c>
      <c r="F19" s="25">
        <f>'01_Assumptions'!B26</f>
        <v>2.2499999999999999E-2</v>
      </c>
      <c r="G19" s="25" t="str">
        <f>'01_Assumptions'!C26</f>
        <v>%</v>
      </c>
    </row>
    <row r="20" spans="2:7" ht="16" x14ac:dyDescent="0.35">
      <c r="E20" s="20" t="s">
        <v>43</v>
      </c>
      <c r="F20" s="24">
        <f>'01_Assumptions'!B27</f>
        <v>0.08</v>
      </c>
      <c r="G20" s="24" t="str">
        <f>'01_Assumptions'!C27</f>
        <v>%</v>
      </c>
    </row>
    <row r="21" spans="2:7" ht="18.5" x14ac:dyDescent="0.35">
      <c r="B21" s="5"/>
      <c r="C21" s="5"/>
      <c r="E21" s="22" t="s">
        <v>119</v>
      </c>
      <c r="F21" s="25">
        <f>'01_Assumptions'!B29</f>
        <v>3.2656249999999998E-2</v>
      </c>
      <c r="G21" s="25" t="str">
        <f>'01_Assumptions'!C29</f>
        <v>%</v>
      </c>
    </row>
    <row r="22" spans="2:7" ht="16" x14ac:dyDescent="0.35">
      <c r="E22" s="20" t="s">
        <v>183</v>
      </c>
      <c r="F22" s="21">
        <f>'01_Assumptions'!B25</f>
        <v>15</v>
      </c>
      <c r="G22" s="21" t="str">
        <f>'01_Assumptions'!C25</f>
        <v>years</v>
      </c>
    </row>
    <row r="25" spans="2:7" ht="23.5" customHeight="1" x14ac:dyDescent="0.35">
      <c r="B25" s="300" t="s">
        <v>184</v>
      </c>
      <c r="C25" s="300"/>
      <c r="D25" s="300"/>
      <c r="E25" s="300"/>
      <c r="F25" s="300"/>
      <c r="G25" s="10"/>
    </row>
    <row r="26" spans="2:7" ht="14.5" customHeight="1" x14ac:dyDescent="0.35">
      <c r="C26" s="6"/>
      <c r="D26" s="6"/>
    </row>
    <row r="28" spans="2:7" ht="23.5" customHeight="1" x14ac:dyDescent="0.35">
      <c r="B28" s="309" t="s">
        <v>127</v>
      </c>
      <c r="C28" s="11"/>
      <c r="D28" s="309" t="s">
        <v>185</v>
      </c>
      <c r="F28" s="309" t="s">
        <v>44</v>
      </c>
    </row>
    <row r="29" spans="2:7" ht="16" customHeight="1" x14ac:dyDescent="0.35">
      <c r="B29" s="309"/>
      <c r="C29" s="11"/>
      <c r="D29" s="309"/>
      <c r="F29" s="309"/>
    </row>
    <row r="30" spans="2:7" ht="14.5" customHeight="1" x14ac:dyDescent="0.35">
      <c r="B30" s="310">
        <f>'09_Investment_Returns'!C6</f>
        <v>6732280.0419548247</v>
      </c>
      <c r="C30" s="11"/>
      <c r="D30" s="294">
        <f>'09_Investment_Returns'!C7</f>
        <v>3.9367079593305432E-2</v>
      </c>
      <c r="F30" s="294">
        <f>'01_Assumptions'!B28</f>
        <v>3.2656249999999998E-2</v>
      </c>
    </row>
    <row r="31" spans="2:7" ht="14.5" customHeight="1" x14ac:dyDescent="0.35">
      <c r="B31" s="310"/>
      <c r="C31" s="11"/>
      <c r="D31" s="294"/>
      <c r="F31" s="294"/>
    </row>
    <row r="32" spans="2:7" ht="14.5" customHeight="1" x14ac:dyDescent="0.35">
      <c r="B32" s="310"/>
      <c r="C32" s="11"/>
      <c r="D32" s="294"/>
      <c r="F32" s="294"/>
    </row>
    <row r="33" spans="2:9" ht="14.5" customHeight="1" x14ac:dyDescent="0.35">
      <c r="B33" s="310"/>
      <c r="C33" s="11"/>
      <c r="D33" s="294"/>
      <c r="F33" s="294"/>
    </row>
    <row r="34" spans="2:9" x14ac:dyDescent="0.35">
      <c r="B34" s="11"/>
      <c r="C34" s="11"/>
      <c r="D34" s="11"/>
      <c r="E34" s="11"/>
      <c r="F34" s="11"/>
      <c r="H34" s="11"/>
      <c r="I34" s="11"/>
    </row>
    <row r="35" spans="2:9" x14ac:dyDescent="0.35">
      <c r="B35" s="11"/>
      <c r="C35" s="11"/>
      <c r="D35" s="11"/>
      <c r="E35" s="11"/>
      <c r="F35" s="11"/>
      <c r="H35" s="11"/>
      <c r="I35" s="11"/>
    </row>
    <row r="36" spans="2:9" ht="14.5" customHeight="1" x14ac:dyDescent="0.35">
      <c r="B36" s="313" t="s">
        <v>186</v>
      </c>
      <c r="C36" s="11"/>
      <c r="D36" s="290" t="s">
        <v>187</v>
      </c>
      <c r="F36" s="290" t="s">
        <v>188</v>
      </c>
    </row>
    <row r="37" spans="2:9" ht="21" customHeight="1" x14ac:dyDescent="0.35">
      <c r="B37" s="314"/>
      <c r="C37" s="11"/>
      <c r="D37" s="291"/>
      <c r="F37" s="291"/>
    </row>
    <row r="38" spans="2:9" ht="17.5" customHeight="1" x14ac:dyDescent="0.35">
      <c r="B38" s="311">
        <f>'09_Investment_Returns'!C9</f>
        <v>17</v>
      </c>
      <c r="C38" s="11"/>
      <c r="D38" s="292">
        <f>'09_Investment_Returns'!C10</f>
        <v>23</v>
      </c>
      <c r="F38" s="307">
        <f>'09_Investment_Returns'!C11</f>
        <v>1.0792032946112335</v>
      </c>
    </row>
    <row r="39" spans="2:9" ht="14.5" customHeight="1" x14ac:dyDescent="0.35">
      <c r="B39" s="311"/>
      <c r="C39" s="11"/>
      <c r="D39" s="292"/>
      <c r="F39" s="307"/>
    </row>
    <row r="40" spans="2:9" ht="14.5" customHeight="1" x14ac:dyDescent="0.35">
      <c r="B40" s="311"/>
      <c r="C40" s="11"/>
      <c r="D40" s="292"/>
      <c r="F40" s="307"/>
    </row>
    <row r="41" spans="2:9" ht="17.5" customHeight="1" x14ac:dyDescent="0.35">
      <c r="B41" s="312"/>
      <c r="C41" s="12"/>
      <c r="D41" s="293"/>
      <c r="F41" s="308"/>
    </row>
    <row r="42" spans="2:9" ht="14.5" customHeight="1" x14ac:dyDescent="0.35"/>
    <row r="43" spans="2:9" ht="14.5" customHeight="1" x14ac:dyDescent="0.35"/>
    <row r="44" spans="2:9" ht="31.5" customHeight="1" x14ac:dyDescent="0.35">
      <c r="B44" s="300" t="s">
        <v>215</v>
      </c>
      <c r="C44" s="300"/>
      <c r="D44" s="300"/>
      <c r="E44" s="300"/>
      <c r="F44" s="300"/>
    </row>
    <row r="45" spans="2:9" ht="14.5" customHeight="1" x14ac:dyDescent="0.35"/>
    <row r="46" spans="2:9" ht="14.5" customHeight="1" x14ac:dyDescent="0.35"/>
    <row r="47" spans="2:9" ht="14.5" customHeight="1" x14ac:dyDescent="0.35"/>
    <row r="48" spans="2:9" ht="14.5" customHeight="1" x14ac:dyDescent="0.35"/>
    <row r="49" spans="2:6" ht="14.5" customHeight="1" x14ac:dyDescent="0.35"/>
    <row r="50" spans="2:6" ht="31.5" customHeight="1" x14ac:dyDescent="0.35"/>
    <row r="51" spans="2:6" ht="71.5" customHeight="1" x14ac:dyDescent="0.35"/>
    <row r="52" spans="2:6" ht="49.5" customHeight="1" x14ac:dyDescent="0.35"/>
    <row r="53" spans="2:6" ht="32.5" customHeight="1" x14ac:dyDescent="0.35">
      <c r="C53" s="304" t="s">
        <v>222</v>
      </c>
      <c r="D53" s="304"/>
      <c r="E53" s="304"/>
      <c r="F53" s="29"/>
    </row>
    <row r="54" spans="2:6" ht="32.5" customHeight="1" x14ac:dyDescent="0.35">
      <c r="C54" s="17"/>
      <c r="D54" s="17"/>
      <c r="E54" s="17"/>
      <c r="F54" s="17"/>
    </row>
    <row r="55" spans="2:6" ht="30.5" customHeight="1" x14ac:dyDescent="0.35">
      <c r="B55" s="300" t="s">
        <v>213</v>
      </c>
      <c r="C55" s="300"/>
      <c r="E55" s="300" t="s">
        <v>220</v>
      </c>
      <c r="F55" s="300"/>
    </row>
    <row r="56" spans="2:6" ht="14.5" customHeight="1" x14ac:dyDescent="0.35"/>
    <row r="57" spans="2:6" ht="27" customHeight="1" x14ac:dyDescent="0.35">
      <c r="B57" s="296" t="s">
        <v>191</v>
      </c>
      <c r="C57" s="296"/>
      <c r="E57" s="14" t="s">
        <v>202</v>
      </c>
      <c r="F57" s="15" t="s">
        <v>203</v>
      </c>
    </row>
    <row r="58" spans="2:6" ht="69" customHeight="1" x14ac:dyDescent="0.35">
      <c r="B58" s="301" t="s">
        <v>217</v>
      </c>
      <c r="C58" s="301"/>
      <c r="E58" s="27" t="s">
        <v>204</v>
      </c>
      <c r="F58" s="27" t="s">
        <v>205</v>
      </c>
    </row>
    <row r="59" spans="2:6" ht="33.5" customHeight="1" x14ac:dyDescent="0.35">
      <c r="E59" s="28" t="s">
        <v>206</v>
      </c>
      <c r="F59" s="28" t="s">
        <v>207</v>
      </c>
    </row>
    <row r="60" spans="2:6" ht="32" x14ac:dyDescent="0.35">
      <c r="B60" s="296" t="s">
        <v>192</v>
      </c>
      <c r="C60" s="296"/>
      <c r="E60" s="27" t="s">
        <v>208</v>
      </c>
      <c r="F60" s="27" t="s">
        <v>209</v>
      </c>
    </row>
    <row r="61" spans="2:6" ht="69.5" customHeight="1" x14ac:dyDescent="0.35">
      <c r="B61" s="301" t="s">
        <v>218</v>
      </c>
      <c r="C61" s="301"/>
      <c r="E61" s="28" t="s">
        <v>210</v>
      </c>
      <c r="F61" s="28" t="s">
        <v>211</v>
      </c>
    </row>
    <row r="62" spans="2:6" ht="14.5" customHeight="1" x14ac:dyDescent="0.35"/>
    <row r="63" spans="2:6" ht="30" customHeight="1" x14ac:dyDescent="0.35">
      <c r="B63" s="296" t="s">
        <v>193</v>
      </c>
      <c r="C63" s="296"/>
    </row>
    <row r="64" spans="2:6" ht="69.5" customHeight="1" x14ac:dyDescent="0.35">
      <c r="B64" s="301" t="s">
        <v>219</v>
      </c>
      <c r="C64" s="301"/>
    </row>
    <row r="67" spans="1:11" ht="29" customHeight="1" x14ac:dyDescent="0.35">
      <c r="C67" s="300" t="s">
        <v>212</v>
      </c>
      <c r="D67" s="300"/>
      <c r="E67" s="300"/>
    </row>
    <row r="69" spans="1:11" ht="115" customHeight="1" x14ac:dyDescent="0.35">
      <c r="A69" s="16"/>
      <c r="B69" s="297" t="s">
        <v>214</v>
      </c>
      <c r="C69" s="298"/>
      <c r="D69" s="298"/>
      <c r="E69" s="298"/>
      <c r="F69" s="299"/>
    </row>
    <row r="71" spans="1:11" ht="19.5" customHeight="1" x14ac:dyDescent="0.35">
      <c r="K71" s="7"/>
    </row>
    <row r="72" spans="1:11" ht="52" customHeight="1" x14ac:dyDescent="0.35">
      <c r="K72" s="7"/>
    </row>
    <row r="75" spans="1:11" ht="51.5" customHeight="1" x14ac:dyDescent="0.35"/>
    <row r="78" spans="1:11" ht="58.5" customHeight="1" x14ac:dyDescent="0.35"/>
    <row r="80" spans="1:11" ht="16" x14ac:dyDescent="0.35">
      <c r="B80" s="296" t="s">
        <v>195</v>
      </c>
      <c r="C80" s="296"/>
      <c r="D80" s="296"/>
      <c r="E80" s="8"/>
      <c r="F80" s="8"/>
    </row>
    <row r="81" spans="2:6" ht="14.5" customHeight="1" x14ac:dyDescent="0.35">
      <c r="B81" s="295" t="s">
        <v>194</v>
      </c>
      <c r="C81" s="295"/>
      <c r="D81" s="295"/>
      <c r="E81" s="9"/>
      <c r="F81" s="9"/>
    </row>
    <row r="82" spans="2:6" ht="22.5" customHeight="1" x14ac:dyDescent="0.35"/>
    <row r="83" spans="2:6" ht="16" x14ac:dyDescent="0.4">
      <c r="B83" s="303" t="s">
        <v>197</v>
      </c>
      <c r="C83" s="303"/>
      <c r="D83" s="303"/>
      <c r="E83" s="303"/>
      <c r="F83" s="303"/>
    </row>
    <row r="84" spans="2:6" ht="29" customHeight="1" x14ac:dyDescent="0.35">
      <c r="B84" s="295" t="s">
        <v>196</v>
      </c>
      <c r="C84" s="295"/>
      <c r="D84" s="295"/>
      <c r="E84" s="295"/>
      <c r="F84" s="295"/>
    </row>
    <row r="86" spans="2:6" ht="22.5" customHeight="1" x14ac:dyDescent="0.4">
      <c r="B86" s="303" t="s">
        <v>199</v>
      </c>
      <c r="C86" s="303"/>
      <c r="D86" s="303"/>
      <c r="E86" s="303"/>
      <c r="F86" s="303"/>
    </row>
    <row r="87" spans="2:6" x14ac:dyDescent="0.35">
      <c r="B87" s="295" t="s">
        <v>198</v>
      </c>
      <c r="C87" s="295"/>
      <c r="D87" s="295"/>
      <c r="E87" s="295"/>
      <c r="F87" s="295"/>
    </row>
    <row r="88" spans="2:6" ht="46" customHeight="1" x14ac:dyDescent="0.35"/>
    <row r="89" spans="2:6" ht="16" x14ac:dyDescent="0.4">
      <c r="B89" s="303" t="s">
        <v>200</v>
      </c>
      <c r="C89" s="303"/>
      <c r="D89" s="303"/>
      <c r="E89" s="303"/>
      <c r="F89" s="303"/>
    </row>
    <row r="90" spans="2:6" x14ac:dyDescent="0.35">
      <c r="B90" s="295" t="s">
        <v>201</v>
      </c>
      <c r="C90" s="295"/>
      <c r="D90" s="295"/>
      <c r="E90" s="295"/>
      <c r="F90" s="295"/>
    </row>
    <row r="92" spans="2:6" ht="17.5" x14ac:dyDescent="0.35">
      <c r="B92" s="2" t="s">
        <v>189</v>
      </c>
    </row>
    <row r="93" spans="2:6" x14ac:dyDescent="0.35">
      <c r="B93" s="3"/>
    </row>
    <row r="94" spans="2:6" x14ac:dyDescent="0.35">
      <c r="B94" s="302" t="s">
        <v>190</v>
      </c>
      <c r="C94" s="302"/>
      <c r="D94" s="302"/>
    </row>
    <row r="95" spans="2:6" x14ac:dyDescent="0.35">
      <c r="B95" s="302"/>
      <c r="C95" s="302"/>
      <c r="D95" s="302"/>
    </row>
    <row r="96" spans="2:6" x14ac:dyDescent="0.35">
      <c r="B96" s="302"/>
      <c r="C96" s="302"/>
      <c r="D96" s="302"/>
    </row>
    <row r="97" spans="2:4" ht="64" customHeight="1" x14ac:dyDescent="0.35">
      <c r="B97" s="302"/>
      <c r="C97" s="302"/>
      <c r="D97" s="302"/>
    </row>
  </sheetData>
  <mergeCells count="38">
    <mergeCell ref="B25:F25"/>
    <mergeCell ref="C53:E53"/>
    <mergeCell ref="B4:G4"/>
    <mergeCell ref="B2:G2"/>
    <mergeCell ref="E55:F55"/>
    <mergeCell ref="F38:F41"/>
    <mergeCell ref="F36:F37"/>
    <mergeCell ref="F30:F33"/>
    <mergeCell ref="F28:F29"/>
    <mergeCell ref="B30:B33"/>
    <mergeCell ref="B28:B29"/>
    <mergeCell ref="B38:B41"/>
    <mergeCell ref="B36:B37"/>
    <mergeCell ref="D28:D29"/>
    <mergeCell ref="B7:C7"/>
    <mergeCell ref="E7:G7"/>
    <mergeCell ref="B94:D97"/>
    <mergeCell ref="B83:F83"/>
    <mergeCell ref="B84:F84"/>
    <mergeCell ref="B90:F90"/>
    <mergeCell ref="B87:F87"/>
    <mergeCell ref="B89:F89"/>
    <mergeCell ref="B86:F86"/>
    <mergeCell ref="D36:D37"/>
    <mergeCell ref="D38:D41"/>
    <mergeCell ref="D30:D33"/>
    <mergeCell ref="B81:D81"/>
    <mergeCell ref="B80:D80"/>
    <mergeCell ref="B69:F69"/>
    <mergeCell ref="C67:E67"/>
    <mergeCell ref="B44:F44"/>
    <mergeCell ref="B55:C55"/>
    <mergeCell ref="B64:C64"/>
    <mergeCell ref="B63:C63"/>
    <mergeCell ref="B61:C61"/>
    <mergeCell ref="B60:C60"/>
    <mergeCell ref="B58:C58"/>
    <mergeCell ref="B57:C57"/>
  </mergeCells>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7702-9035-4192-A7C5-06D42AB0149F}">
  <dimension ref="A1:HA87"/>
  <sheetViews>
    <sheetView showGridLines="0" topLeftCell="A36" zoomScale="85" zoomScaleNormal="85" workbookViewId="0">
      <selection activeCell="A40" sqref="A40"/>
    </sheetView>
  </sheetViews>
  <sheetFormatPr defaultRowHeight="14.5" x14ac:dyDescent="0.35"/>
  <cols>
    <col min="1" max="1" width="31.08984375" style="1" customWidth="1"/>
    <col min="2" max="2" width="19.26953125" style="1" customWidth="1"/>
    <col min="3" max="3" width="21.1796875" style="1" customWidth="1"/>
    <col min="4" max="4" width="73" style="1" customWidth="1"/>
    <col min="5" max="5" width="48.26953125" style="1" customWidth="1"/>
    <col min="6" max="16384" width="8.7265625" style="1"/>
  </cols>
  <sheetData>
    <row r="1" spans="1:6" ht="18.5" x14ac:dyDescent="0.45">
      <c r="A1" s="288" t="s">
        <v>36</v>
      </c>
      <c r="B1" s="288"/>
      <c r="C1" s="288"/>
      <c r="D1" s="288"/>
      <c r="E1" s="288"/>
      <c r="F1" s="31"/>
    </row>
    <row r="2" spans="1:6" ht="5.5" customHeight="1" x14ac:dyDescent="0.45">
      <c r="A2" s="32"/>
      <c r="B2" s="32"/>
      <c r="C2" s="32"/>
      <c r="D2" s="32"/>
      <c r="E2" s="115"/>
      <c r="F2" s="116"/>
    </row>
    <row r="3" spans="1:6" ht="16" x14ac:dyDescent="0.4">
      <c r="A3" s="33" t="s">
        <v>4</v>
      </c>
      <c r="B3" s="33" t="s">
        <v>5</v>
      </c>
      <c r="C3" s="33" t="s">
        <v>6</v>
      </c>
      <c r="D3" s="33" t="s">
        <v>14</v>
      </c>
      <c r="E3" s="33" t="s">
        <v>18</v>
      </c>
    </row>
    <row r="4" spans="1:6" x14ac:dyDescent="0.35">
      <c r="A4" s="35" t="s">
        <v>12</v>
      </c>
      <c r="B4" s="120" t="s">
        <v>13</v>
      </c>
      <c r="C4" s="36" t="s">
        <v>121</v>
      </c>
      <c r="D4" s="106" t="s">
        <v>121</v>
      </c>
      <c r="E4" s="35"/>
    </row>
    <row r="5" spans="1:6" x14ac:dyDescent="0.35">
      <c r="A5" s="38" t="s">
        <v>29</v>
      </c>
      <c r="B5" s="121" t="s">
        <v>30</v>
      </c>
      <c r="C5" s="39" t="s">
        <v>121</v>
      </c>
      <c r="D5" s="107" t="s">
        <v>121</v>
      </c>
      <c r="E5" s="38"/>
    </row>
    <row r="6" spans="1:6" x14ac:dyDescent="0.35">
      <c r="A6" s="35" t="s">
        <v>3</v>
      </c>
      <c r="B6" s="120">
        <v>100</v>
      </c>
      <c r="C6" s="36" t="s">
        <v>22</v>
      </c>
      <c r="D6" s="106" t="s">
        <v>121</v>
      </c>
      <c r="E6" s="35"/>
    </row>
    <row r="7" spans="1:6" x14ac:dyDescent="0.35">
      <c r="A7" s="38" t="s">
        <v>2</v>
      </c>
      <c r="B7" s="121">
        <v>25</v>
      </c>
      <c r="C7" s="39" t="s">
        <v>130</v>
      </c>
      <c r="D7" s="107" t="s">
        <v>121</v>
      </c>
      <c r="E7" s="38"/>
    </row>
    <row r="8" spans="1:6" x14ac:dyDescent="0.35">
      <c r="A8" s="35" t="s">
        <v>1</v>
      </c>
      <c r="B8" s="120">
        <v>1</v>
      </c>
      <c r="C8" s="36" t="s">
        <v>221</v>
      </c>
      <c r="D8" s="106" t="s">
        <v>121</v>
      </c>
      <c r="E8" s="35"/>
    </row>
    <row r="9" spans="1:6" x14ac:dyDescent="0.35">
      <c r="A9" s="38" t="s">
        <v>0</v>
      </c>
      <c r="B9" s="121">
        <v>25</v>
      </c>
      <c r="C9" s="39" t="s">
        <v>130</v>
      </c>
      <c r="D9" s="107" t="s">
        <v>121</v>
      </c>
      <c r="E9" s="38"/>
    </row>
    <row r="10" spans="1:6" x14ac:dyDescent="0.35">
      <c r="A10" s="35" t="s">
        <v>7</v>
      </c>
      <c r="B10" s="122">
        <v>0.14099999999999999</v>
      </c>
      <c r="C10" s="36" t="s">
        <v>15</v>
      </c>
      <c r="D10" s="108" t="s">
        <v>33</v>
      </c>
      <c r="E10" s="35" t="s">
        <v>32</v>
      </c>
    </row>
    <row r="11" spans="1:6" ht="43.5" x14ac:dyDescent="0.35">
      <c r="A11" s="38" t="s">
        <v>8</v>
      </c>
      <c r="B11" s="121">
        <v>85</v>
      </c>
      <c r="C11" s="39" t="s">
        <v>24</v>
      </c>
      <c r="D11" s="109" t="s">
        <v>16</v>
      </c>
      <c r="E11" s="117" t="s">
        <v>28</v>
      </c>
    </row>
    <row r="12" spans="1:6" ht="43.5" x14ac:dyDescent="0.35">
      <c r="A12" s="35" t="s">
        <v>9</v>
      </c>
      <c r="B12" s="120">
        <v>1.1000000000000001</v>
      </c>
      <c r="C12" s="36" t="s">
        <v>25</v>
      </c>
      <c r="D12" s="111" t="s">
        <v>17</v>
      </c>
      <c r="E12" s="118" t="s">
        <v>27</v>
      </c>
    </row>
    <row r="13" spans="1:6" x14ac:dyDescent="0.35">
      <c r="A13" s="38" t="s">
        <v>10</v>
      </c>
      <c r="B13" s="123">
        <v>5.0000000000000001E-3</v>
      </c>
      <c r="C13" s="39" t="s">
        <v>21</v>
      </c>
      <c r="D13" s="104" t="s">
        <v>19</v>
      </c>
      <c r="E13" s="113"/>
    </row>
    <row r="14" spans="1:6" ht="43.5" x14ac:dyDescent="0.35">
      <c r="A14" s="35" t="s">
        <v>26</v>
      </c>
      <c r="B14" s="120">
        <v>59</v>
      </c>
      <c r="C14" s="36" t="s">
        <v>90</v>
      </c>
      <c r="D14" s="111" t="s">
        <v>20</v>
      </c>
      <c r="E14" s="118" t="s">
        <v>31</v>
      </c>
    </row>
    <row r="15" spans="1:6" ht="43.5" x14ac:dyDescent="0.35">
      <c r="A15" s="38" t="s">
        <v>11</v>
      </c>
      <c r="B15" s="124">
        <v>0.02</v>
      </c>
      <c r="C15" s="39" t="s">
        <v>15</v>
      </c>
      <c r="D15" s="113" t="s">
        <v>34</v>
      </c>
      <c r="E15" s="119" t="s">
        <v>35</v>
      </c>
    </row>
    <row r="16" spans="1:6" x14ac:dyDescent="0.35">
      <c r="A16" s="35" t="s">
        <v>88</v>
      </c>
      <c r="B16" s="125">
        <v>0.14000000000000001</v>
      </c>
      <c r="C16" s="36" t="s">
        <v>15</v>
      </c>
      <c r="D16" s="106" t="s">
        <v>121</v>
      </c>
      <c r="E16" s="35"/>
    </row>
    <row r="17" spans="1:209" x14ac:dyDescent="0.35">
      <c r="A17" s="105"/>
      <c r="B17" s="128"/>
      <c r="C17" s="42"/>
      <c r="D17" s="129"/>
    </row>
    <row r="19" spans="1:209" s="41" customFormat="1" ht="18.5" x14ac:dyDescent="0.45">
      <c r="A19" s="287" t="s">
        <v>52</v>
      </c>
      <c r="B19" s="287"/>
      <c r="C19" s="287"/>
      <c r="D19" s="287"/>
      <c r="E19" s="287"/>
      <c r="F19" s="3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row>
    <row r="20" spans="1:209" ht="5" customHeight="1" x14ac:dyDescent="0.35"/>
    <row r="21" spans="1:209" ht="16" x14ac:dyDescent="0.4">
      <c r="A21" s="88" t="s">
        <v>4</v>
      </c>
      <c r="B21" s="89" t="s">
        <v>5</v>
      </c>
      <c r="C21" s="89" t="s">
        <v>6</v>
      </c>
      <c r="D21" s="89" t="s">
        <v>14</v>
      </c>
      <c r="E21" s="90" t="s">
        <v>18</v>
      </c>
      <c r="F21" s="95"/>
    </row>
    <row r="22" spans="1:209" x14ac:dyDescent="0.35">
      <c r="A22" s="91" t="s">
        <v>37</v>
      </c>
      <c r="B22" s="126">
        <v>0.25</v>
      </c>
      <c r="C22" s="36" t="s">
        <v>15</v>
      </c>
      <c r="D22" s="101" t="s">
        <v>38</v>
      </c>
      <c r="E22" s="102" t="s">
        <v>121</v>
      </c>
    </row>
    <row r="23" spans="1:209" x14ac:dyDescent="0.35">
      <c r="A23" s="92" t="s">
        <v>39</v>
      </c>
      <c r="B23" s="124">
        <v>0.75</v>
      </c>
      <c r="C23" s="39" t="s">
        <v>15</v>
      </c>
      <c r="D23" s="38" t="s">
        <v>121</v>
      </c>
      <c r="E23" s="103" t="s">
        <v>50</v>
      </c>
    </row>
    <row r="24" spans="1:209" x14ac:dyDescent="0.35">
      <c r="A24" s="91" t="s">
        <v>40</v>
      </c>
      <c r="B24" s="126">
        <v>0.25</v>
      </c>
      <c r="C24" s="36" t="s">
        <v>15</v>
      </c>
      <c r="D24" s="35" t="s">
        <v>121</v>
      </c>
      <c r="E24" s="102" t="s">
        <v>50</v>
      </c>
    </row>
    <row r="25" spans="1:209" x14ac:dyDescent="0.35">
      <c r="A25" s="92" t="s">
        <v>42</v>
      </c>
      <c r="B25" s="121">
        <v>15</v>
      </c>
      <c r="C25" s="39" t="s">
        <v>130</v>
      </c>
      <c r="D25" s="38" t="s">
        <v>121</v>
      </c>
      <c r="E25" s="103" t="s">
        <v>50</v>
      </c>
    </row>
    <row r="26" spans="1:209" ht="29" x14ac:dyDescent="0.35">
      <c r="A26" s="91" t="s">
        <v>110</v>
      </c>
      <c r="B26" s="126">
        <v>2.2499999999999999E-2</v>
      </c>
      <c r="C26" s="36" t="s">
        <v>15</v>
      </c>
      <c r="D26" s="101" t="s">
        <v>46</v>
      </c>
      <c r="E26" s="102" t="s">
        <v>49</v>
      </c>
    </row>
    <row r="27" spans="1:209" ht="29" x14ac:dyDescent="0.35">
      <c r="A27" s="92" t="s">
        <v>43</v>
      </c>
      <c r="B27" s="124">
        <v>0.08</v>
      </c>
      <c r="C27" s="39" t="s">
        <v>15</v>
      </c>
      <c r="D27" s="104" t="s">
        <v>46</v>
      </c>
      <c r="E27" s="103" t="s">
        <v>48</v>
      </c>
    </row>
    <row r="28" spans="1:209" x14ac:dyDescent="0.35">
      <c r="A28" s="91" t="s">
        <v>44</v>
      </c>
      <c r="B28" s="130">
        <f>B23*B26*(1-B22)+B24*B27</f>
        <v>3.2656249999999998E-2</v>
      </c>
      <c r="C28" s="36" t="s">
        <v>15</v>
      </c>
      <c r="D28" s="101" t="s">
        <v>46</v>
      </c>
      <c r="E28" s="102" t="s">
        <v>47</v>
      </c>
    </row>
    <row r="29" spans="1:209" x14ac:dyDescent="0.35">
      <c r="A29" s="92" t="s">
        <v>45</v>
      </c>
      <c r="B29" s="94">
        <f>B28</f>
        <v>3.2656249999999998E-2</v>
      </c>
      <c r="C29" s="39" t="s">
        <v>15</v>
      </c>
      <c r="D29" s="38" t="s">
        <v>121</v>
      </c>
      <c r="E29" s="103" t="s">
        <v>51</v>
      </c>
    </row>
    <row r="30" spans="1:209" x14ac:dyDescent="0.35">
      <c r="A30" s="105"/>
      <c r="B30" s="105"/>
      <c r="C30" s="105"/>
      <c r="D30" s="105"/>
      <c r="E30" s="105"/>
    </row>
    <row r="33" spans="1:4" ht="16" x14ac:dyDescent="0.4">
      <c r="C33" s="289" t="s">
        <v>224</v>
      </c>
      <c r="D33" s="289"/>
    </row>
    <row r="36" spans="1:4" x14ac:dyDescent="0.35">
      <c r="A36" s="43" t="s">
        <v>94</v>
      </c>
    </row>
    <row r="37" spans="1:4" ht="43.5" x14ac:dyDescent="0.35">
      <c r="A37" s="43" t="s">
        <v>93</v>
      </c>
    </row>
    <row r="38" spans="1:4" ht="58" x14ac:dyDescent="0.35">
      <c r="A38" s="43" t="s">
        <v>223</v>
      </c>
    </row>
    <row r="39" spans="1:4" ht="101.5" x14ac:dyDescent="0.35">
      <c r="A39" s="43" t="s">
        <v>265</v>
      </c>
    </row>
    <row r="51" spans="1:6" x14ac:dyDescent="0.35">
      <c r="A51" s="44" t="s">
        <v>148</v>
      </c>
    </row>
    <row r="53" spans="1:6" x14ac:dyDescent="0.35">
      <c r="A53" s="1" t="s">
        <v>139</v>
      </c>
    </row>
    <row r="55" spans="1:6" x14ac:dyDescent="0.35">
      <c r="A55" s="45" t="s">
        <v>134</v>
      </c>
      <c r="B55" s="45" t="s">
        <v>135</v>
      </c>
      <c r="C55" s="45" t="s">
        <v>6</v>
      </c>
      <c r="D55" s="45" t="s">
        <v>136</v>
      </c>
    </row>
    <row r="56" spans="1:6" x14ac:dyDescent="0.35">
      <c r="A56" s="9" t="s">
        <v>137</v>
      </c>
      <c r="B56" s="42">
        <f>B14</f>
        <v>59</v>
      </c>
      <c r="C56" s="42" t="s">
        <v>90</v>
      </c>
      <c r="D56" s="9" t="s">
        <v>138</v>
      </c>
    </row>
    <row r="57" spans="1:6" x14ac:dyDescent="0.35">
      <c r="A57" s="9" t="s">
        <v>8</v>
      </c>
      <c r="B57" s="42">
        <v>85</v>
      </c>
      <c r="C57" s="42" t="s">
        <v>24</v>
      </c>
      <c r="D57" s="9" t="s">
        <v>138</v>
      </c>
    </row>
    <row r="58" spans="1:6" x14ac:dyDescent="0.35">
      <c r="A58" s="9" t="s">
        <v>85</v>
      </c>
      <c r="B58" s="46">
        <v>0.14099999999999999</v>
      </c>
      <c r="C58" s="47" t="s">
        <v>15</v>
      </c>
      <c r="D58" s="9" t="s">
        <v>138</v>
      </c>
    </row>
    <row r="61" spans="1:6" ht="18.5" x14ac:dyDescent="0.45">
      <c r="A61" s="48" t="s">
        <v>140</v>
      </c>
      <c r="D61" s="49" t="s">
        <v>127</v>
      </c>
      <c r="E61" s="49" t="s">
        <v>128</v>
      </c>
    </row>
    <row r="62" spans="1:6" x14ac:dyDescent="0.35">
      <c r="A62" s="49" t="s">
        <v>141</v>
      </c>
      <c r="B62" s="49" t="s">
        <v>147</v>
      </c>
      <c r="C62" s="49" t="s">
        <v>137</v>
      </c>
      <c r="D62" s="50">
        <f>'09_Investment_Returns'!C6</f>
        <v>6732280.0419548247</v>
      </c>
      <c r="E62" s="51">
        <f>'09_Investment_Returns'!C7</f>
        <v>3.9367079593305432E-2</v>
      </c>
      <c r="F62" s="52"/>
    </row>
    <row r="63" spans="1:6" x14ac:dyDescent="0.35">
      <c r="A63" s="53" t="s">
        <v>142</v>
      </c>
      <c r="B63" s="54">
        <v>-0.2</v>
      </c>
      <c r="C63" s="55">
        <f>47.2</f>
        <v>47.2</v>
      </c>
      <c r="D63" s="56">
        <f t="dataTable" ref="D63:E67" dt2D="0" dtr="0" r1="B14"/>
        <v>-12267585.43681314</v>
      </c>
      <c r="E63" s="57">
        <v>1.9566173237072215E-2</v>
      </c>
      <c r="F63" s="52"/>
    </row>
    <row r="64" spans="1:6" x14ac:dyDescent="0.35">
      <c r="A64" s="58" t="s">
        <v>143</v>
      </c>
      <c r="B64" s="59">
        <v>-0.1</v>
      </c>
      <c r="C64" s="60">
        <f>53.1</f>
        <v>53.1</v>
      </c>
      <c r="D64" s="61">
        <v>-2767652.6974291401</v>
      </c>
      <c r="E64" s="62">
        <v>2.9807880347292981E-2</v>
      </c>
      <c r="F64" s="52"/>
    </row>
    <row r="65" spans="1:6" x14ac:dyDescent="0.35">
      <c r="A65" s="53" t="s">
        <v>144</v>
      </c>
      <c r="B65" s="54">
        <v>0</v>
      </c>
      <c r="C65" s="55">
        <f>59</f>
        <v>59</v>
      </c>
      <c r="D65" s="56">
        <v>6732280.0419548247</v>
      </c>
      <c r="E65" s="57">
        <v>3.9367079593305432E-2</v>
      </c>
      <c r="F65" s="52"/>
    </row>
    <row r="66" spans="1:6" x14ac:dyDescent="0.35">
      <c r="A66" s="58" t="s">
        <v>145</v>
      </c>
      <c r="B66" s="59">
        <v>0.1</v>
      </c>
      <c r="C66" s="60">
        <f>64.9</f>
        <v>64.900000000000006</v>
      </c>
      <c r="D66" s="61">
        <v>16232212.781338837</v>
      </c>
      <c r="E66" s="62">
        <v>4.8381821847259143E-2</v>
      </c>
      <c r="F66" s="52"/>
    </row>
    <row r="67" spans="1:6" x14ac:dyDescent="0.35">
      <c r="A67" s="53" t="s">
        <v>146</v>
      </c>
      <c r="B67" s="54">
        <v>0.2</v>
      </c>
      <c r="C67" s="55">
        <f>70.8</f>
        <v>70.8</v>
      </c>
      <c r="D67" s="56">
        <v>25732145.520722799</v>
      </c>
      <c r="E67" s="57">
        <v>5.6953195021144154E-2</v>
      </c>
      <c r="F67" s="52"/>
    </row>
    <row r="71" spans="1:6" ht="18.5" x14ac:dyDescent="0.45">
      <c r="A71" s="48" t="s">
        <v>149</v>
      </c>
      <c r="D71" s="49" t="s">
        <v>127</v>
      </c>
      <c r="E71" s="49" t="s">
        <v>128</v>
      </c>
    </row>
    <row r="72" spans="1:6" x14ac:dyDescent="0.35">
      <c r="A72" s="49" t="s">
        <v>141</v>
      </c>
      <c r="B72" s="49" t="s">
        <v>147</v>
      </c>
      <c r="C72" s="49" t="s">
        <v>8</v>
      </c>
      <c r="D72" s="63">
        <f>'09_Investment_Returns'!C6</f>
        <v>6732280.0419548247</v>
      </c>
      <c r="E72" s="64">
        <f>'09_Investment_Returns'!C7</f>
        <v>3.9367079593305432E-2</v>
      </c>
    </row>
    <row r="73" spans="1:6" x14ac:dyDescent="0.35">
      <c r="A73" s="65" t="s">
        <v>142</v>
      </c>
      <c r="B73" s="66">
        <v>-0.2</v>
      </c>
      <c r="C73" s="65">
        <v>68</v>
      </c>
      <c r="D73" s="67">
        <f t="dataTable" ref="D73:E77" dt2D="0" dtr="0" r1="B11" ca="1"/>
        <v>20857784.727065019</v>
      </c>
      <c r="E73" s="68">
        <v>5.7276058867927304E-2</v>
      </c>
    </row>
    <row r="74" spans="1:6" x14ac:dyDescent="0.35">
      <c r="A74" s="69" t="s">
        <v>143</v>
      </c>
      <c r="B74" s="70">
        <v>-0.1</v>
      </c>
      <c r="C74" s="71">
        <v>76.5</v>
      </c>
      <c r="D74" s="72">
        <v>13795032.384509934</v>
      </c>
      <c r="E74" s="73">
        <v>4.7550758267285165E-2</v>
      </c>
    </row>
    <row r="75" spans="1:6" x14ac:dyDescent="0.35">
      <c r="A75" s="65" t="s">
        <v>144</v>
      </c>
      <c r="B75" s="66">
        <v>0</v>
      </c>
      <c r="C75" s="65">
        <v>85</v>
      </c>
      <c r="D75" s="67">
        <v>6732280.0419548247</v>
      </c>
      <c r="E75" s="68">
        <v>3.9367079593305432E-2</v>
      </c>
    </row>
    <row r="76" spans="1:6" x14ac:dyDescent="0.35">
      <c r="A76" s="69" t="s">
        <v>145</v>
      </c>
      <c r="B76" s="70">
        <v>0.1</v>
      </c>
      <c r="C76" s="71">
        <v>93.500000000000014</v>
      </c>
      <c r="D76" s="72">
        <v>-330472.30060027493</v>
      </c>
      <c r="E76" s="73">
        <v>3.2349851580104616E-2</v>
      </c>
    </row>
    <row r="77" spans="1:6" x14ac:dyDescent="0.35">
      <c r="A77" s="65" t="s">
        <v>146</v>
      </c>
      <c r="B77" s="66">
        <v>0.2</v>
      </c>
      <c r="C77" s="65">
        <v>102</v>
      </c>
      <c r="D77" s="67">
        <v>-7393224.6431553485</v>
      </c>
      <c r="E77" s="68">
        <v>2.6241636507576827E-2</v>
      </c>
    </row>
    <row r="81" spans="1:5" ht="18.5" x14ac:dyDescent="0.45">
      <c r="A81" s="48" t="s">
        <v>155</v>
      </c>
      <c r="D81" s="74" t="s">
        <v>127</v>
      </c>
      <c r="E81" s="74" t="s">
        <v>128</v>
      </c>
    </row>
    <row r="82" spans="1:5" x14ac:dyDescent="0.35">
      <c r="A82" s="74" t="s">
        <v>141</v>
      </c>
      <c r="B82" s="74" t="s">
        <v>147</v>
      </c>
      <c r="C82" s="74" t="s">
        <v>85</v>
      </c>
      <c r="D82" s="75">
        <f>'09_Investment_Returns'!C6</f>
        <v>6732280.0419548247</v>
      </c>
      <c r="E82" s="76">
        <f>'09_Investment_Returns'!C7</f>
        <v>3.9367079593305432E-2</v>
      </c>
    </row>
    <row r="83" spans="1:5" x14ac:dyDescent="0.35">
      <c r="A83" s="77" t="s">
        <v>142</v>
      </c>
      <c r="B83" s="78">
        <v>-0.2</v>
      </c>
      <c r="C83" s="79">
        <v>0.1128</v>
      </c>
      <c r="D83" s="80">
        <f t="dataTable" ref="D83:E87" dt2D="0" dtr="0" r1="B10" ca="1"/>
        <v>-12267585.43681314</v>
      </c>
      <c r="E83" s="81">
        <v>1.9566173237072215E-2</v>
      </c>
    </row>
    <row r="84" spans="1:5" x14ac:dyDescent="0.35">
      <c r="A84" s="82" t="s">
        <v>143</v>
      </c>
      <c r="B84" s="83">
        <v>-0.1</v>
      </c>
      <c r="C84" s="84">
        <v>0.12689999999999999</v>
      </c>
      <c r="D84" s="85">
        <v>-2767652.6974291531</v>
      </c>
      <c r="E84" s="86">
        <v>2.9807880347292981E-2</v>
      </c>
    </row>
    <row r="85" spans="1:5" x14ac:dyDescent="0.35">
      <c r="A85" s="77" t="s">
        <v>144</v>
      </c>
      <c r="B85" s="78">
        <v>0</v>
      </c>
      <c r="C85" s="79">
        <v>0.14099999999999999</v>
      </c>
      <c r="D85" s="80">
        <v>6732280.0419548247</v>
      </c>
      <c r="E85" s="81">
        <v>3.9367079593305432E-2</v>
      </c>
    </row>
    <row r="86" spans="1:5" x14ac:dyDescent="0.35">
      <c r="A86" s="82" t="s">
        <v>145</v>
      </c>
      <c r="B86" s="83">
        <v>0.1</v>
      </c>
      <c r="C86" s="87">
        <v>0.15509999999999999</v>
      </c>
      <c r="D86" s="85">
        <v>16232212.781338826</v>
      </c>
      <c r="E86" s="86">
        <v>4.8381821847259143E-2</v>
      </c>
    </row>
    <row r="87" spans="1:5" x14ac:dyDescent="0.35">
      <c r="A87" s="77" t="s">
        <v>146</v>
      </c>
      <c r="B87" s="78">
        <v>0.2</v>
      </c>
      <c r="C87" s="79">
        <v>0.16919999999999999</v>
      </c>
      <c r="D87" s="80">
        <v>25732145.520722825</v>
      </c>
      <c r="E87" s="81">
        <v>5.6953195021144154E-2</v>
      </c>
    </row>
  </sheetData>
  <mergeCells count="3">
    <mergeCell ref="A19:E19"/>
    <mergeCell ref="A1:E1"/>
    <mergeCell ref="C33:D33"/>
  </mergeCells>
  <hyperlinks>
    <hyperlink ref="D11" r:id="rId1" xr:uid="{BA00B7B3-19C0-4F69-87BA-39EFE654942C}"/>
    <hyperlink ref="D12" r:id="rId2" xr:uid="{01F3666C-B2F4-4F9D-809F-90DCD2724F7A}"/>
    <hyperlink ref="D13" r:id="rId3" display="https://greensolver.net/articles/solar-panel-degradation-rates/" xr:uid="{D5848144-C414-4809-8F5E-DC645F042A87}"/>
    <hyperlink ref="D14" r:id="rId4" xr:uid="{F8670A35-6596-4A6C-929F-47E5E979582A}"/>
    <hyperlink ref="D15" r:id="rId5" xr:uid="{C6F1040A-6C1E-4701-B6DD-9F216EB0737E}"/>
    <hyperlink ref="D10" r:id="rId6" xr:uid="{5F08EA40-9264-409D-A791-194EAE3E4A3C}"/>
    <hyperlink ref="D22" r:id="rId7" display="https://www.impots.gouv.fr/international-professionnel/impot-sur-les-societes?" xr:uid="{1836586E-2697-4D8C-A163-07FE28B5CD84}"/>
    <hyperlink ref="D26" r:id="rId8" display="https://www.solardataatlas.com/en/data-solar-wacc-europe" xr:uid="{82153530-4F99-4AB8-B9BD-C8D9531B41E8}"/>
    <hyperlink ref="D27" r:id="rId9" display="https://www.solardataatlas.com/en/data-solar-wacc-europe" xr:uid="{FD4AFC4D-4555-4AB4-AE6C-AC016B4D1617}"/>
    <hyperlink ref="D28" r:id="rId10" display="https://www.solardataatlas.com/en/data-solar-wacc-europe" xr:uid="{FE4A3678-FE45-412C-98B3-BC5196A2D9ED}"/>
  </hyperlinks>
  <pageMargins left="0.7" right="0.7" top="0.75" bottom="0.75" header="0.3" footer="0.3"/>
  <tableParts count="3">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6FAAA-317D-406A-B180-AAA2E6F1B37D}">
  <dimension ref="A1:AB19"/>
  <sheetViews>
    <sheetView showGridLines="0" zoomScale="85" zoomScaleNormal="85" workbookViewId="0">
      <selection activeCell="D13" sqref="D13:K13"/>
    </sheetView>
  </sheetViews>
  <sheetFormatPr defaultRowHeight="14.5" x14ac:dyDescent="0.35"/>
  <cols>
    <col min="1" max="1" width="28.90625" style="1" customWidth="1"/>
    <col min="2" max="2" width="8.7265625" style="1"/>
    <col min="3" max="3" width="8.90625" style="1" bestFit="1" customWidth="1"/>
    <col min="4" max="4" width="13.26953125" style="1" customWidth="1"/>
    <col min="5" max="12" width="8.7265625" style="1"/>
    <col min="13" max="28" width="8.90625" style="1" customWidth="1"/>
    <col min="29" max="16384" width="8.7265625" style="1"/>
  </cols>
  <sheetData>
    <row r="1" spans="1:28" ht="18.5" x14ac:dyDescent="0.45">
      <c r="A1" s="287" t="s">
        <v>225</v>
      </c>
      <c r="B1" s="287"/>
      <c r="C1" s="287"/>
      <c r="D1" s="287"/>
      <c r="E1" s="287"/>
      <c r="F1" s="287"/>
      <c r="G1" s="287"/>
      <c r="H1" s="287"/>
      <c r="I1" s="287"/>
      <c r="J1" s="287"/>
      <c r="K1" s="287"/>
      <c r="L1" s="287"/>
      <c r="M1" s="287"/>
      <c r="N1" s="287"/>
    </row>
    <row r="3" spans="1:28" s="135" customFormat="1" ht="16" x14ac:dyDescent="0.4">
      <c r="A3" s="137" t="s">
        <v>54</v>
      </c>
      <c r="B3" s="161" t="s">
        <v>6</v>
      </c>
      <c r="C3" s="161" t="s">
        <v>80</v>
      </c>
      <c r="D3" s="161" t="s">
        <v>55</v>
      </c>
      <c r="E3" s="161" t="s">
        <v>56</v>
      </c>
      <c r="F3" s="161" t="s">
        <v>57</v>
      </c>
      <c r="G3" s="161" t="s">
        <v>58</v>
      </c>
      <c r="H3" s="161" t="s">
        <v>59</v>
      </c>
      <c r="I3" s="161" t="s">
        <v>60</v>
      </c>
      <c r="J3" s="161" t="s">
        <v>61</v>
      </c>
      <c r="K3" s="161" t="s">
        <v>62</v>
      </c>
      <c r="L3" s="161" t="s">
        <v>63</v>
      </c>
      <c r="M3" s="161" t="s">
        <v>64</v>
      </c>
      <c r="N3" s="161" t="s">
        <v>65</v>
      </c>
      <c r="O3" s="161" t="s">
        <v>66</v>
      </c>
      <c r="P3" s="161" t="s">
        <v>67</v>
      </c>
      <c r="Q3" s="161" t="s">
        <v>68</v>
      </c>
      <c r="R3" s="161" t="s">
        <v>69</v>
      </c>
      <c r="S3" s="161" t="s">
        <v>70</v>
      </c>
      <c r="T3" s="161" t="s">
        <v>71</v>
      </c>
      <c r="U3" s="161" t="s">
        <v>72</v>
      </c>
      <c r="V3" s="161" t="s">
        <v>73</v>
      </c>
      <c r="W3" s="161" t="s">
        <v>74</v>
      </c>
      <c r="X3" s="161" t="s">
        <v>75</v>
      </c>
      <c r="Y3" s="161" t="s">
        <v>76</v>
      </c>
      <c r="Z3" s="161" t="s">
        <v>77</v>
      </c>
      <c r="AA3" s="161" t="s">
        <v>78</v>
      </c>
      <c r="AB3" s="162" t="s">
        <v>79</v>
      </c>
    </row>
    <row r="4" spans="1:28" x14ac:dyDescent="0.35">
      <c r="A4" s="37" t="s">
        <v>173</v>
      </c>
      <c r="B4" s="97" t="s">
        <v>81</v>
      </c>
      <c r="C4" s="153">
        <f>'01_Assumptions'!$B$6</f>
        <v>100</v>
      </c>
      <c r="D4" s="153">
        <f>'01_Assumptions'!$B$6</f>
        <v>100</v>
      </c>
      <c r="E4" s="153">
        <f>'01_Assumptions'!$B$6</f>
        <v>100</v>
      </c>
      <c r="F4" s="153">
        <f>'01_Assumptions'!$B$6</f>
        <v>100</v>
      </c>
      <c r="G4" s="153">
        <f>'01_Assumptions'!$B$6</f>
        <v>100</v>
      </c>
      <c r="H4" s="153">
        <f>'01_Assumptions'!$B$6</f>
        <v>100</v>
      </c>
      <c r="I4" s="153">
        <f>'01_Assumptions'!$B$6</f>
        <v>100</v>
      </c>
      <c r="J4" s="153">
        <f>'01_Assumptions'!$B$6</f>
        <v>100</v>
      </c>
      <c r="K4" s="153">
        <f>'01_Assumptions'!$B$6</f>
        <v>100</v>
      </c>
      <c r="L4" s="153">
        <f>'01_Assumptions'!$B$6</f>
        <v>100</v>
      </c>
      <c r="M4" s="153">
        <f>'01_Assumptions'!$B$6</f>
        <v>100</v>
      </c>
      <c r="N4" s="153">
        <f>'01_Assumptions'!$B$6</f>
        <v>100</v>
      </c>
      <c r="O4" s="153">
        <f>'01_Assumptions'!$B$6</f>
        <v>100</v>
      </c>
      <c r="P4" s="153">
        <f>'01_Assumptions'!$B$6</f>
        <v>100</v>
      </c>
      <c r="Q4" s="153">
        <f>'01_Assumptions'!$B$6</f>
        <v>100</v>
      </c>
      <c r="R4" s="153">
        <f>'01_Assumptions'!$B$6</f>
        <v>100</v>
      </c>
      <c r="S4" s="153">
        <f>'01_Assumptions'!$B$6</f>
        <v>100</v>
      </c>
      <c r="T4" s="153">
        <f>'01_Assumptions'!$B$6</f>
        <v>100</v>
      </c>
      <c r="U4" s="153">
        <f>'01_Assumptions'!$B$6</f>
        <v>100</v>
      </c>
      <c r="V4" s="153">
        <f>'01_Assumptions'!$B$6</f>
        <v>100</v>
      </c>
      <c r="W4" s="153">
        <f>'01_Assumptions'!$B$6</f>
        <v>100</v>
      </c>
      <c r="X4" s="153">
        <f>'01_Assumptions'!$B$6</f>
        <v>100</v>
      </c>
      <c r="Y4" s="153">
        <f>'01_Assumptions'!$B$6</f>
        <v>100</v>
      </c>
      <c r="Z4" s="153">
        <f>'01_Assumptions'!$B$6</f>
        <v>100</v>
      </c>
      <c r="AA4" s="153">
        <f>'01_Assumptions'!$B$6</f>
        <v>100</v>
      </c>
      <c r="AB4" s="154">
        <f>'01_Assumptions'!$B$6</f>
        <v>100</v>
      </c>
    </row>
    <row r="5" spans="1:28" s="133" customFormat="1" x14ac:dyDescent="0.35">
      <c r="A5" s="139" t="s">
        <v>84</v>
      </c>
      <c r="B5" s="140" t="s">
        <v>82</v>
      </c>
      <c r="C5" s="151">
        <v>0</v>
      </c>
      <c r="D5" s="151">
        <v>8760</v>
      </c>
      <c r="E5" s="151">
        <v>8760</v>
      </c>
      <c r="F5" s="151">
        <v>8760</v>
      </c>
      <c r="G5" s="151">
        <v>8760</v>
      </c>
      <c r="H5" s="151">
        <v>8760</v>
      </c>
      <c r="I5" s="151">
        <v>8760</v>
      </c>
      <c r="J5" s="151">
        <v>8760</v>
      </c>
      <c r="K5" s="151">
        <v>8760</v>
      </c>
      <c r="L5" s="151">
        <v>8760</v>
      </c>
      <c r="M5" s="151">
        <v>8760</v>
      </c>
      <c r="N5" s="151">
        <v>8760</v>
      </c>
      <c r="O5" s="151">
        <v>8760</v>
      </c>
      <c r="P5" s="151">
        <v>8760</v>
      </c>
      <c r="Q5" s="151">
        <v>8760</v>
      </c>
      <c r="R5" s="151">
        <v>8760</v>
      </c>
      <c r="S5" s="151">
        <v>8760</v>
      </c>
      <c r="T5" s="151">
        <v>8760</v>
      </c>
      <c r="U5" s="151">
        <v>8760</v>
      </c>
      <c r="V5" s="151">
        <v>8760</v>
      </c>
      <c r="W5" s="151">
        <v>8760</v>
      </c>
      <c r="X5" s="151">
        <v>8760</v>
      </c>
      <c r="Y5" s="151">
        <v>8760</v>
      </c>
      <c r="Z5" s="151">
        <v>8760</v>
      </c>
      <c r="AA5" s="151">
        <v>8760</v>
      </c>
      <c r="AB5" s="152">
        <v>8760</v>
      </c>
    </row>
    <row r="6" spans="1:28" x14ac:dyDescent="0.35">
      <c r="A6" s="37" t="s">
        <v>85</v>
      </c>
      <c r="B6" s="97" t="s">
        <v>15</v>
      </c>
      <c r="C6" s="155">
        <f>'01_Assumptions'!$B$10</f>
        <v>0.14099999999999999</v>
      </c>
      <c r="D6" s="155">
        <f>'01_Assumptions'!$B$10</f>
        <v>0.14099999999999999</v>
      </c>
      <c r="E6" s="155">
        <f>'01_Assumptions'!$B$10</f>
        <v>0.14099999999999999</v>
      </c>
      <c r="F6" s="155">
        <f>'01_Assumptions'!$B$10</f>
        <v>0.14099999999999999</v>
      </c>
      <c r="G6" s="155">
        <f>'01_Assumptions'!$B$10</f>
        <v>0.14099999999999999</v>
      </c>
      <c r="H6" s="155">
        <f>'01_Assumptions'!$B$10</f>
        <v>0.14099999999999999</v>
      </c>
      <c r="I6" s="155">
        <f>'01_Assumptions'!$B$10</f>
        <v>0.14099999999999999</v>
      </c>
      <c r="J6" s="155">
        <f>'01_Assumptions'!$B$10</f>
        <v>0.14099999999999999</v>
      </c>
      <c r="K6" s="155">
        <f>'01_Assumptions'!$B$10</f>
        <v>0.14099999999999999</v>
      </c>
      <c r="L6" s="155">
        <f>'01_Assumptions'!$B$10</f>
        <v>0.14099999999999999</v>
      </c>
      <c r="M6" s="155">
        <f>'01_Assumptions'!$B$10</f>
        <v>0.14099999999999999</v>
      </c>
      <c r="N6" s="155">
        <f>'01_Assumptions'!$B$10</f>
        <v>0.14099999999999999</v>
      </c>
      <c r="O6" s="155">
        <f>'01_Assumptions'!$B$10</f>
        <v>0.14099999999999999</v>
      </c>
      <c r="P6" s="155">
        <f>'01_Assumptions'!$B$10</f>
        <v>0.14099999999999999</v>
      </c>
      <c r="Q6" s="155">
        <f>'01_Assumptions'!$B$10</f>
        <v>0.14099999999999999</v>
      </c>
      <c r="R6" s="155">
        <f>'01_Assumptions'!$B$10</f>
        <v>0.14099999999999999</v>
      </c>
      <c r="S6" s="155">
        <f>'01_Assumptions'!$B$10</f>
        <v>0.14099999999999999</v>
      </c>
      <c r="T6" s="155">
        <f>'01_Assumptions'!$B$10</f>
        <v>0.14099999999999999</v>
      </c>
      <c r="U6" s="155">
        <f>'01_Assumptions'!$B$10</f>
        <v>0.14099999999999999</v>
      </c>
      <c r="V6" s="155">
        <f>'01_Assumptions'!$B$10</f>
        <v>0.14099999999999999</v>
      </c>
      <c r="W6" s="155">
        <f>'01_Assumptions'!$B$10</f>
        <v>0.14099999999999999</v>
      </c>
      <c r="X6" s="155">
        <f>'01_Assumptions'!$B$10</f>
        <v>0.14099999999999999</v>
      </c>
      <c r="Y6" s="155">
        <f>'01_Assumptions'!$B$10</f>
        <v>0.14099999999999999</v>
      </c>
      <c r="Z6" s="155">
        <f>'01_Assumptions'!$B$10</f>
        <v>0.14099999999999999</v>
      </c>
      <c r="AA6" s="155">
        <f>'01_Assumptions'!$B$10</f>
        <v>0.14099999999999999</v>
      </c>
      <c r="AB6" s="156">
        <f>'01_Assumptions'!$B$10</f>
        <v>0.14099999999999999</v>
      </c>
    </row>
    <row r="7" spans="1:28" s="133" customFormat="1" x14ac:dyDescent="0.35">
      <c r="A7" s="139" t="s">
        <v>86</v>
      </c>
      <c r="B7" s="140" t="s">
        <v>83</v>
      </c>
      <c r="C7" s="141">
        <f>C4*C5*C6</f>
        <v>0</v>
      </c>
      <c r="D7" s="141">
        <f>D4*D5*D6*(1-C8)</f>
        <v>123515.99999999999</v>
      </c>
      <c r="E7" s="141">
        <f>Table3[[#This Row],[Year 1]]*(1-D8)</f>
        <v>122898.41999999998</v>
      </c>
      <c r="F7" s="141">
        <f>Table3[[#This Row],[Year 2]]*(1-E8)</f>
        <v>122283.92789999998</v>
      </c>
      <c r="G7" s="141">
        <f>Table3[[#This Row],[Year 3]]*(1-F8)</f>
        <v>121672.50826049998</v>
      </c>
      <c r="H7" s="141">
        <f>Table3[[#This Row],[Year 4]]*(1-G8)</f>
        <v>121064.14571919748</v>
      </c>
      <c r="I7" s="141">
        <f>Table3[[#This Row],[Year 5]]*(1-H8)</f>
        <v>120458.82499060148</v>
      </c>
      <c r="J7" s="141">
        <f>Table3[[#This Row],[Year 6]]*(1-I8)</f>
        <v>119856.53086564847</v>
      </c>
      <c r="K7" s="141">
        <f>Table3[[#This Row],[Year 7]]*(1-J8)</f>
        <v>119257.24821132023</v>
      </c>
      <c r="L7" s="141">
        <f>Table3[[#This Row],[Year 8]]*(1-K8)</f>
        <v>118660.96197026363</v>
      </c>
      <c r="M7" s="141">
        <f>Table3[[#This Row],[Year 9]]*(1-L8)</f>
        <v>118067.6571604123</v>
      </c>
      <c r="N7" s="141">
        <f>Table3[[#This Row],[Year 10]]*(1-M8)</f>
        <v>117477.31887461024</v>
      </c>
      <c r="O7" s="141">
        <f>Table3[[#This Row],[Year 11]]*(1-N8)</f>
        <v>116889.93228023719</v>
      </c>
      <c r="P7" s="141">
        <f>Table3[[#This Row],[Year 12]]*(1-O8)</f>
        <v>116305.482618836</v>
      </c>
      <c r="Q7" s="141">
        <f>Table3[[#This Row],[Year 13]]*(1-P8)</f>
        <v>115723.95520574182</v>
      </c>
      <c r="R7" s="141">
        <f>Table3[[#This Row],[Year 14]]*(1-Q8)</f>
        <v>115145.33542971312</v>
      </c>
      <c r="S7" s="141">
        <f>Table3[[#This Row],[Year 15]]*(1-R8)</f>
        <v>114569.60875256456</v>
      </c>
      <c r="T7" s="141">
        <f>Table3[[#This Row],[Year 16]]*(1-S8)</f>
        <v>113996.76070880174</v>
      </c>
      <c r="U7" s="141">
        <f>Table3[[#This Row],[Year 17]]*(1-T8)</f>
        <v>113426.77690525774</v>
      </c>
      <c r="V7" s="141">
        <f>Table3[[#This Row],[Year 18]]*(1-U8)</f>
        <v>112859.64302073144</v>
      </c>
      <c r="W7" s="141">
        <f>Table3[[#This Row],[Year 19]]*(1-V8)</f>
        <v>112295.34480562778</v>
      </c>
      <c r="X7" s="141">
        <f>Table3[[#This Row],[Year 20]]*(1-W8)</f>
        <v>111733.86808159965</v>
      </c>
      <c r="Y7" s="141">
        <f>Table3[[#This Row],[Year 21]]*(1-X8)</f>
        <v>111175.19874119165</v>
      </c>
      <c r="Z7" s="141">
        <f>Table3[[#This Row],[Year 22]]*(1-Y8)</f>
        <v>110619.32274748568</v>
      </c>
      <c r="AA7" s="141">
        <f>Table3[[#This Row],[Year 23]]*(1-Z8)</f>
        <v>110066.22613374825</v>
      </c>
      <c r="AB7" s="142">
        <f>Table3[[#This Row],[Year 24]]*(1-AA8)</f>
        <v>109515.89500307951</v>
      </c>
    </row>
    <row r="8" spans="1:28" s="134" customFormat="1" x14ac:dyDescent="0.35">
      <c r="A8" s="143" t="s">
        <v>10</v>
      </c>
      <c r="B8" s="96" t="s">
        <v>15</v>
      </c>
      <c r="C8" s="159">
        <v>0</v>
      </c>
      <c r="D8" s="155">
        <f>'01_Assumptions'!$B$13</f>
        <v>5.0000000000000001E-3</v>
      </c>
      <c r="E8" s="155">
        <f>'01_Assumptions'!$B$13</f>
        <v>5.0000000000000001E-3</v>
      </c>
      <c r="F8" s="155">
        <f>'01_Assumptions'!$B$13</f>
        <v>5.0000000000000001E-3</v>
      </c>
      <c r="G8" s="155">
        <f>'01_Assumptions'!$B$13</f>
        <v>5.0000000000000001E-3</v>
      </c>
      <c r="H8" s="155">
        <f>'01_Assumptions'!$B$13</f>
        <v>5.0000000000000001E-3</v>
      </c>
      <c r="I8" s="155">
        <f>'01_Assumptions'!$B$13</f>
        <v>5.0000000000000001E-3</v>
      </c>
      <c r="J8" s="155">
        <f>'01_Assumptions'!$B$13</f>
        <v>5.0000000000000001E-3</v>
      </c>
      <c r="K8" s="155">
        <f>'01_Assumptions'!$B$13</f>
        <v>5.0000000000000001E-3</v>
      </c>
      <c r="L8" s="155">
        <f>'01_Assumptions'!$B$13</f>
        <v>5.0000000000000001E-3</v>
      </c>
      <c r="M8" s="155">
        <f>'01_Assumptions'!$B$13</f>
        <v>5.0000000000000001E-3</v>
      </c>
      <c r="N8" s="155">
        <f>'01_Assumptions'!$B$13</f>
        <v>5.0000000000000001E-3</v>
      </c>
      <c r="O8" s="155">
        <f>'01_Assumptions'!$B$13</f>
        <v>5.0000000000000001E-3</v>
      </c>
      <c r="P8" s="155">
        <f>'01_Assumptions'!$B$13</f>
        <v>5.0000000000000001E-3</v>
      </c>
      <c r="Q8" s="155">
        <f>'01_Assumptions'!$B$13</f>
        <v>5.0000000000000001E-3</v>
      </c>
      <c r="R8" s="155">
        <f>'01_Assumptions'!$B$13</f>
        <v>5.0000000000000001E-3</v>
      </c>
      <c r="S8" s="155">
        <f>'01_Assumptions'!$B$13</f>
        <v>5.0000000000000001E-3</v>
      </c>
      <c r="T8" s="155">
        <f>'01_Assumptions'!$B$13</f>
        <v>5.0000000000000001E-3</v>
      </c>
      <c r="U8" s="155">
        <f>'01_Assumptions'!$B$13</f>
        <v>5.0000000000000001E-3</v>
      </c>
      <c r="V8" s="155">
        <f>'01_Assumptions'!$B$13</f>
        <v>5.0000000000000001E-3</v>
      </c>
      <c r="W8" s="155">
        <f>'01_Assumptions'!$B$13</f>
        <v>5.0000000000000001E-3</v>
      </c>
      <c r="X8" s="155">
        <f>'01_Assumptions'!$B$13</f>
        <v>5.0000000000000001E-3</v>
      </c>
      <c r="Y8" s="155">
        <f>'01_Assumptions'!$B$13</f>
        <v>5.0000000000000001E-3</v>
      </c>
      <c r="Z8" s="155">
        <f>'01_Assumptions'!$B$13</f>
        <v>5.0000000000000001E-3</v>
      </c>
      <c r="AA8" s="155">
        <f>'01_Assumptions'!$B$13</f>
        <v>5.0000000000000001E-3</v>
      </c>
      <c r="AB8" s="156">
        <f>'01_Assumptions'!$B$13</f>
        <v>5.0000000000000001E-3</v>
      </c>
    </row>
    <row r="9" spans="1:28" s="134" customFormat="1" x14ac:dyDescent="0.35">
      <c r="A9" s="144" t="s">
        <v>88</v>
      </c>
      <c r="B9" s="99" t="s">
        <v>15</v>
      </c>
      <c r="C9" s="160">
        <v>0</v>
      </c>
      <c r="D9" s="157">
        <f>'01_Assumptions'!$B$16</f>
        <v>0.14000000000000001</v>
      </c>
      <c r="E9" s="157">
        <f>'01_Assumptions'!$B$16</f>
        <v>0.14000000000000001</v>
      </c>
      <c r="F9" s="157">
        <f>'01_Assumptions'!$B$16</f>
        <v>0.14000000000000001</v>
      </c>
      <c r="G9" s="157">
        <f>'01_Assumptions'!$B$16</f>
        <v>0.14000000000000001</v>
      </c>
      <c r="H9" s="157">
        <f>'01_Assumptions'!$B$16</f>
        <v>0.14000000000000001</v>
      </c>
      <c r="I9" s="157">
        <f>'01_Assumptions'!$B$16</f>
        <v>0.14000000000000001</v>
      </c>
      <c r="J9" s="157">
        <f>'01_Assumptions'!$B$16</f>
        <v>0.14000000000000001</v>
      </c>
      <c r="K9" s="157">
        <f>'01_Assumptions'!$B$16</f>
        <v>0.14000000000000001</v>
      </c>
      <c r="L9" s="157">
        <f>'01_Assumptions'!$B$16</f>
        <v>0.14000000000000001</v>
      </c>
      <c r="M9" s="157">
        <f>'01_Assumptions'!$B$16</f>
        <v>0.14000000000000001</v>
      </c>
      <c r="N9" s="157">
        <f>'01_Assumptions'!$B$16</f>
        <v>0.14000000000000001</v>
      </c>
      <c r="O9" s="157">
        <f>'01_Assumptions'!$B$16</f>
        <v>0.14000000000000001</v>
      </c>
      <c r="P9" s="157">
        <f>'01_Assumptions'!$B$16</f>
        <v>0.14000000000000001</v>
      </c>
      <c r="Q9" s="157">
        <f>'01_Assumptions'!$B$16</f>
        <v>0.14000000000000001</v>
      </c>
      <c r="R9" s="157">
        <f>'01_Assumptions'!$B$16</f>
        <v>0.14000000000000001</v>
      </c>
      <c r="S9" s="157">
        <f>'01_Assumptions'!$B$16</f>
        <v>0.14000000000000001</v>
      </c>
      <c r="T9" s="157">
        <f>'01_Assumptions'!$B$16</f>
        <v>0.14000000000000001</v>
      </c>
      <c r="U9" s="157">
        <f>'01_Assumptions'!$B$16</f>
        <v>0.14000000000000001</v>
      </c>
      <c r="V9" s="157">
        <f>'01_Assumptions'!$B$16</f>
        <v>0.14000000000000001</v>
      </c>
      <c r="W9" s="157">
        <f>'01_Assumptions'!$B$16</f>
        <v>0.14000000000000001</v>
      </c>
      <c r="X9" s="157">
        <f>'01_Assumptions'!$B$16</f>
        <v>0.14000000000000001</v>
      </c>
      <c r="Y9" s="157">
        <f>'01_Assumptions'!$B$16</f>
        <v>0.14000000000000001</v>
      </c>
      <c r="Z9" s="157">
        <f>'01_Assumptions'!$B$16</f>
        <v>0.14000000000000001</v>
      </c>
      <c r="AA9" s="157">
        <f>'01_Assumptions'!$B$16</f>
        <v>0.14000000000000001</v>
      </c>
      <c r="AB9" s="158">
        <f>'01_Assumptions'!$B$16</f>
        <v>0.14000000000000001</v>
      </c>
    </row>
    <row r="10" spans="1:28" s="133" customFormat="1" x14ac:dyDescent="0.35">
      <c r="A10" s="146" t="s">
        <v>87</v>
      </c>
      <c r="B10" s="147" t="s">
        <v>83</v>
      </c>
      <c r="C10" s="148">
        <f>C7*(1-C9)</f>
        <v>0</v>
      </c>
      <c r="D10" s="148">
        <f>D7*(1-D9)</f>
        <v>106223.75999999998</v>
      </c>
      <c r="E10" s="148">
        <f>E7*(1-E9)</f>
        <v>105692.64119999998</v>
      </c>
      <c r="F10" s="148">
        <f>F7*(1-F9)</f>
        <v>105164.17799399998</v>
      </c>
      <c r="G10" s="148">
        <f t="shared" ref="G10:J10" si="0">G7*(1-G9)</f>
        <v>104638.35710402997</v>
      </c>
      <c r="H10" s="148">
        <f>H7*(1-H9)</f>
        <v>104115.16531850983</v>
      </c>
      <c r="I10" s="148">
        <f t="shared" si="0"/>
        <v>103594.58949191727</v>
      </c>
      <c r="J10" s="148">
        <f t="shared" si="0"/>
        <v>103076.61654445768</v>
      </c>
      <c r="K10" s="148">
        <f t="shared" ref="K10" si="1">K7*(1-K9)</f>
        <v>102561.23346173539</v>
      </c>
      <c r="L10" s="148">
        <f t="shared" ref="L10" si="2">L7*(1-L9)</f>
        <v>102048.42729442671</v>
      </c>
      <c r="M10" s="148">
        <f t="shared" ref="M10:N10" si="3">M7*(1-M9)</f>
        <v>101538.18515795458</v>
      </c>
      <c r="N10" s="148">
        <f t="shared" si="3"/>
        <v>101030.4942321648</v>
      </c>
      <c r="O10" s="148">
        <f t="shared" ref="O10:P10" si="4">O7*(1-O9)</f>
        <v>100525.34176100398</v>
      </c>
      <c r="P10" s="148">
        <f t="shared" si="4"/>
        <v>100022.71505219895</v>
      </c>
      <c r="Q10" s="148">
        <f t="shared" ref="Q10" si="5">Q7*(1-Q9)</f>
        <v>99522.601476937969</v>
      </c>
      <c r="R10" s="148">
        <f t="shared" ref="R10" si="6">R7*(1-R9)</f>
        <v>99024.988469553282</v>
      </c>
      <c r="S10" s="148">
        <f t="shared" ref="S10:T10" si="7">S7*(1-S9)</f>
        <v>98529.863527205511</v>
      </c>
      <c r="T10" s="148">
        <f t="shared" si="7"/>
        <v>98037.214209569487</v>
      </c>
      <c r="U10" s="148">
        <f t="shared" ref="U10:V10" si="8">U7*(1-U9)</f>
        <v>97547.028138521651</v>
      </c>
      <c r="V10" s="148">
        <f t="shared" si="8"/>
        <v>97059.292997829034</v>
      </c>
      <c r="W10" s="148">
        <f t="shared" ref="W10" si="9">W7*(1-W9)</f>
        <v>96573.996532839898</v>
      </c>
      <c r="X10" s="148">
        <f>X7*(1-X9)</f>
        <v>96091.126550175701</v>
      </c>
      <c r="Y10" s="148">
        <f t="shared" ref="Y10:Z10" si="10">Y7*(1-Y9)</f>
        <v>95610.67091742481</v>
      </c>
      <c r="Z10" s="148">
        <f t="shared" si="10"/>
        <v>95132.61756283768</v>
      </c>
      <c r="AA10" s="148">
        <f t="shared" ref="AA10:AB10" si="11">AA7*(1-AA9)</f>
        <v>94656.954475023493</v>
      </c>
      <c r="AB10" s="149">
        <f t="shared" si="11"/>
        <v>94183.669702648374</v>
      </c>
    </row>
    <row r="13" spans="1:28" ht="16" x14ac:dyDescent="0.4">
      <c r="D13" s="289" t="s">
        <v>224</v>
      </c>
      <c r="E13" s="289"/>
      <c r="F13" s="289"/>
      <c r="G13" s="289"/>
      <c r="H13" s="289"/>
      <c r="I13" s="289"/>
      <c r="J13" s="289"/>
      <c r="K13" s="289"/>
    </row>
    <row r="17" spans="1:8" x14ac:dyDescent="0.35">
      <c r="A17" s="43" t="s">
        <v>94</v>
      </c>
    </row>
    <row r="18" spans="1:8" ht="58" x14ac:dyDescent="0.35">
      <c r="A18" s="43" t="s">
        <v>91</v>
      </c>
    </row>
    <row r="19" spans="1:8" ht="72.5" x14ac:dyDescent="0.35">
      <c r="A19" s="43" t="s">
        <v>92</v>
      </c>
      <c r="H19" s="1" t="s">
        <v>53</v>
      </c>
    </row>
  </sheetData>
  <mergeCells count="2">
    <mergeCell ref="A1:N1"/>
    <mergeCell ref="D13:K13"/>
  </mergeCells>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F3154-0024-4004-97FB-BF54B047365A}">
  <dimension ref="A1:AB9"/>
  <sheetViews>
    <sheetView showGridLines="0" zoomScaleNormal="100" workbookViewId="0">
      <selection activeCell="D6" sqref="D6"/>
    </sheetView>
  </sheetViews>
  <sheetFormatPr defaultRowHeight="14.5" x14ac:dyDescent="0.35"/>
  <cols>
    <col min="1" max="1" width="27.54296875" style="1" customWidth="1"/>
    <col min="2" max="2" width="11.1796875" style="1" customWidth="1"/>
    <col min="3" max="3" width="9" style="1" bestFit="1" customWidth="1"/>
    <col min="4" max="28" width="14.54296875" style="1" bestFit="1" customWidth="1"/>
    <col min="29" max="16384" width="8.7265625" style="1"/>
  </cols>
  <sheetData>
    <row r="1" spans="1:28" ht="18.5" x14ac:dyDescent="0.45">
      <c r="A1" s="287" t="s">
        <v>226</v>
      </c>
      <c r="B1" s="287"/>
      <c r="C1" s="287"/>
      <c r="D1" s="287"/>
      <c r="E1" s="287"/>
      <c r="F1" s="287"/>
      <c r="G1" s="287"/>
      <c r="H1" s="287"/>
      <c r="I1" s="287"/>
    </row>
    <row r="3" spans="1:28" ht="16" x14ac:dyDescent="0.4">
      <c r="A3" s="88" t="s">
        <v>54</v>
      </c>
      <c r="B3" s="161" t="s">
        <v>6</v>
      </c>
      <c r="C3" s="161" t="s">
        <v>80</v>
      </c>
      <c r="D3" s="161" t="s">
        <v>55</v>
      </c>
      <c r="E3" s="161" t="s">
        <v>56</v>
      </c>
      <c r="F3" s="161" t="s">
        <v>57</v>
      </c>
      <c r="G3" s="161" t="s">
        <v>58</v>
      </c>
      <c r="H3" s="161" t="s">
        <v>59</v>
      </c>
      <c r="I3" s="161" t="s">
        <v>60</v>
      </c>
      <c r="J3" s="161" t="s">
        <v>61</v>
      </c>
      <c r="K3" s="161" t="s">
        <v>62</v>
      </c>
      <c r="L3" s="161" t="s">
        <v>63</v>
      </c>
      <c r="M3" s="161" t="s">
        <v>64</v>
      </c>
      <c r="N3" s="161" t="s">
        <v>65</v>
      </c>
      <c r="O3" s="161" t="s">
        <v>66</v>
      </c>
      <c r="P3" s="161" t="s">
        <v>67</v>
      </c>
      <c r="Q3" s="161" t="s">
        <v>68</v>
      </c>
      <c r="R3" s="161" t="s">
        <v>69</v>
      </c>
      <c r="S3" s="161" t="s">
        <v>70</v>
      </c>
      <c r="T3" s="161" t="s">
        <v>71</v>
      </c>
      <c r="U3" s="161" t="s">
        <v>72</v>
      </c>
      <c r="V3" s="161" t="s">
        <v>73</v>
      </c>
      <c r="W3" s="161" t="s">
        <v>74</v>
      </c>
      <c r="X3" s="161" t="s">
        <v>75</v>
      </c>
      <c r="Y3" s="161" t="s">
        <v>76</v>
      </c>
      <c r="Z3" s="161" t="s">
        <v>77</v>
      </c>
      <c r="AA3" s="161" t="s">
        <v>78</v>
      </c>
      <c r="AB3" s="162" t="s">
        <v>79</v>
      </c>
    </row>
    <row r="4" spans="1:28" x14ac:dyDescent="0.35">
      <c r="A4" s="37" t="s">
        <v>87</v>
      </c>
      <c r="B4" s="136" t="s">
        <v>83</v>
      </c>
      <c r="C4" s="168">
        <f>'02_Operations'!C10</f>
        <v>0</v>
      </c>
      <c r="D4" s="168">
        <f>'02_Operations'!D10</f>
        <v>106223.75999999998</v>
      </c>
      <c r="E4" s="168">
        <f>'02_Operations'!E10</f>
        <v>105692.64119999998</v>
      </c>
      <c r="F4" s="168">
        <f>'02_Operations'!F10</f>
        <v>105164.17799399998</v>
      </c>
      <c r="G4" s="168">
        <f>'02_Operations'!G10</f>
        <v>104638.35710402997</v>
      </c>
      <c r="H4" s="168">
        <f>'02_Operations'!H10</f>
        <v>104115.16531850983</v>
      </c>
      <c r="I4" s="168">
        <f>'02_Operations'!I10</f>
        <v>103594.58949191727</v>
      </c>
      <c r="J4" s="168">
        <f>'02_Operations'!J10</f>
        <v>103076.61654445768</v>
      </c>
      <c r="K4" s="168">
        <f>'02_Operations'!K10</f>
        <v>102561.23346173539</v>
      </c>
      <c r="L4" s="168">
        <f>'02_Operations'!L10</f>
        <v>102048.42729442671</v>
      </c>
      <c r="M4" s="168">
        <f>'02_Operations'!M10</f>
        <v>101538.18515795458</v>
      </c>
      <c r="N4" s="168">
        <f>'02_Operations'!N10</f>
        <v>101030.4942321648</v>
      </c>
      <c r="O4" s="168">
        <f>'02_Operations'!O10</f>
        <v>100525.34176100398</v>
      </c>
      <c r="P4" s="168">
        <f>'02_Operations'!P10</f>
        <v>100022.71505219895</v>
      </c>
      <c r="Q4" s="168">
        <f>'02_Operations'!Q10</f>
        <v>99522.601476937969</v>
      </c>
      <c r="R4" s="168">
        <f>'02_Operations'!R10</f>
        <v>99024.988469553282</v>
      </c>
      <c r="S4" s="168">
        <f>'02_Operations'!S10</f>
        <v>98529.863527205511</v>
      </c>
      <c r="T4" s="168">
        <f>'02_Operations'!T10</f>
        <v>98037.214209569487</v>
      </c>
      <c r="U4" s="168">
        <f>'02_Operations'!U10</f>
        <v>97547.028138521651</v>
      </c>
      <c r="V4" s="168">
        <f>'02_Operations'!V10</f>
        <v>97059.292997829034</v>
      </c>
      <c r="W4" s="168">
        <f>'02_Operations'!W10</f>
        <v>96573.996532839898</v>
      </c>
      <c r="X4" s="168">
        <f>'02_Operations'!X10</f>
        <v>96091.126550175701</v>
      </c>
      <c r="Y4" s="168">
        <f>'02_Operations'!Y10</f>
        <v>95610.67091742481</v>
      </c>
      <c r="Z4" s="168">
        <f>'02_Operations'!Z10</f>
        <v>95132.61756283768</v>
      </c>
      <c r="AA4" s="168">
        <f>'02_Operations'!AA10</f>
        <v>94656.954475023493</v>
      </c>
      <c r="AB4" s="169">
        <f>'02_Operations'!AB10</f>
        <v>94183.669702648374</v>
      </c>
    </row>
    <row r="5" spans="1:28" x14ac:dyDescent="0.35">
      <c r="A5" s="139" t="s">
        <v>26</v>
      </c>
      <c r="B5" s="140" t="s">
        <v>90</v>
      </c>
      <c r="C5" s="170">
        <f>'01_Assumptions'!B14</f>
        <v>59</v>
      </c>
      <c r="D5" s="171">
        <f>Table35[[#This Row],[Year 0]]*(1+'01_Assumptions'!$B$15)</f>
        <v>60.18</v>
      </c>
      <c r="E5" s="171">
        <f>Table35[[#This Row],[Year 1]]*(1+'01_Assumptions'!$B$15)</f>
        <v>61.383600000000001</v>
      </c>
      <c r="F5" s="171">
        <f>Table35[[#This Row],[Year 2]]*(1+'01_Assumptions'!$B$15)</f>
        <v>62.611272</v>
      </c>
      <c r="G5" s="171">
        <f>Table35[[#This Row],[Year 3]]*(1+'01_Assumptions'!$B$15)</f>
        <v>63.863497440000003</v>
      </c>
      <c r="H5" s="171">
        <f>Table35[[#This Row],[Year 4]]*(1+'01_Assumptions'!$B$15)</f>
        <v>65.140767388800001</v>
      </c>
      <c r="I5" s="171">
        <f>Table35[[#This Row],[Year 5]]*(1+'01_Assumptions'!$B$15)</f>
        <v>66.443582736576005</v>
      </c>
      <c r="J5" s="171">
        <f>Table35[[#This Row],[Year 6]]*(1+'01_Assumptions'!$B$15)</f>
        <v>67.772454391307519</v>
      </c>
      <c r="K5" s="171">
        <f>Table35[[#This Row],[Year 7]]*(1+'01_Assumptions'!$B$15)</f>
        <v>69.127903479133664</v>
      </c>
      <c r="L5" s="171">
        <f>Table35[[#This Row],[Year 8]]*(1+'01_Assumptions'!$B$15)</f>
        <v>70.510461548716336</v>
      </c>
      <c r="M5" s="171">
        <f>Table35[[#This Row],[Year 9]]*(1+'01_Assumptions'!$B$15)</f>
        <v>71.920670779690667</v>
      </c>
      <c r="N5" s="171">
        <f>Table35[[#This Row],[Year 10]]*(1+'01_Assumptions'!$B$15)</f>
        <v>73.359084195284481</v>
      </c>
      <c r="O5" s="171">
        <f>Table35[[#This Row],[Year 11]]*(1+'01_Assumptions'!$B$15)</f>
        <v>74.826265879190174</v>
      </c>
      <c r="P5" s="171">
        <f>Table35[[#This Row],[Year 12]]*(1+'01_Assumptions'!$B$15)</f>
        <v>76.322791196773977</v>
      </c>
      <c r="Q5" s="171">
        <f>Table35[[#This Row],[Year 13]]*(1+'01_Assumptions'!$B$15)</f>
        <v>77.849247020709456</v>
      </c>
      <c r="R5" s="171">
        <f>Table35[[#This Row],[Year 14]]*(1+'01_Assumptions'!$B$15)</f>
        <v>79.406231961123652</v>
      </c>
      <c r="S5" s="171">
        <f>Table35[[#This Row],[Year 15]]*(1+'01_Assumptions'!$B$15)</f>
        <v>80.994356600346123</v>
      </c>
      <c r="T5" s="171">
        <f>Table35[[#This Row],[Year 16]]*(1+'01_Assumptions'!$B$15)</f>
        <v>82.614243732353046</v>
      </c>
      <c r="U5" s="171">
        <f>Table35[[#This Row],[Year 17]]*(1+'01_Assumptions'!$B$15)</f>
        <v>84.266528607000112</v>
      </c>
      <c r="V5" s="171">
        <f>Table35[[#This Row],[Year 18]]*(1+'01_Assumptions'!$B$15)</f>
        <v>85.951859179140115</v>
      </c>
      <c r="W5" s="171">
        <f>Table35[[#This Row],[Year 19]]*(1+'01_Assumptions'!$B$15)</f>
        <v>87.670896362722914</v>
      </c>
      <c r="X5" s="171">
        <f>Table35[[#This Row],[Year 20]]*(1+'01_Assumptions'!$B$15)</f>
        <v>89.424314289977374</v>
      </c>
      <c r="Y5" s="171">
        <f>Table35[[#This Row],[Year 21]]*(1+'01_Assumptions'!$B$15)</f>
        <v>91.212800575776924</v>
      </c>
      <c r="Z5" s="171">
        <f>Table35[[#This Row],[Year 22]]*(1+'01_Assumptions'!$B$15)</f>
        <v>93.037056587292469</v>
      </c>
      <c r="AA5" s="171">
        <f>Table35[[#This Row],[Year 23]]*(1+'01_Assumptions'!$B$15)</f>
        <v>94.897797719038323</v>
      </c>
      <c r="AB5" s="172">
        <f>Table35[[#This Row],[Year 24]]*(1+'01_Assumptions'!$B$15)</f>
        <v>96.795753673419085</v>
      </c>
    </row>
    <row r="6" spans="1:28" x14ac:dyDescent="0.35">
      <c r="A6" s="173" t="s">
        <v>89</v>
      </c>
      <c r="B6" s="163" t="s">
        <v>23</v>
      </c>
      <c r="C6" s="164">
        <f>C5*C4</f>
        <v>0</v>
      </c>
      <c r="D6" s="164">
        <f>D5*D4</f>
        <v>6392545.8767999988</v>
      </c>
      <c r="E6" s="164">
        <f>E5*E4</f>
        <v>6487794.810364319</v>
      </c>
      <c r="F6" s="164">
        <f>F5*F4</f>
        <v>6584462.9530387474</v>
      </c>
      <c r="G6" s="164">
        <f t="shared" ref="G6:AA6" si="0">G5*G4</f>
        <v>6682571.4510390246</v>
      </c>
      <c r="H6" s="164">
        <f t="shared" si="0"/>
        <v>6782141.7656595055</v>
      </c>
      <c r="I6" s="164">
        <f t="shared" si="0"/>
        <v>6883195.6779678324</v>
      </c>
      <c r="J6" s="164">
        <f t="shared" si="0"/>
        <v>6985755.2935695518</v>
      </c>
      <c r="K6" s="164">
        <f t="shared" si="0"/>
        <v>7089843.0474437382</v>
      </c>
      <c r="L6" s="164">
        <f t="shared" si="0"/>
        <v>7195481.7088506492</v>
      </c>
      <c r="M6" s="164">
        <f t="shared" si="0"/>
        <v>7302694.3863125239</v>
      </c>
      <c r="N6" s="164">
        <f t="shared" si="0"/>
        <v>7411504.5326685803</v>
      </c>
      <c r="O6" s="164">
        <f t="shared" si="0"/>
        <v>7521935.9502053428</v>
      </c>
      <c r="P6" s="164">
        <f t="shared" si="0"/>
        <v>7634012.7958634021</v>
      </c>
      <c r="Q6" s="164">
        <f t="shared" si="0"/>
        <v>7747759.586521768</v>
      </c>
      <c r="R6" s="164">
        <f t="shared" si="0"/>
        <v>7863201.2043609433</v>
      </c>
      <c r="S6" s="164">
        <f t="shared" si="0"/>
        <v>7980362.9023059206</v>
      </c>
      <c r="T6" s="164">
        <f t="shared" si="0"/>
        <v>8099270.3095502788</v>
      </c>
      <c r="U6" s="164">
        <f t="shared" si="0"/>
        <v>8219949.43716258</v>
      </c>
      <c r="V6" s="164">
        <f t="shared" si="0"/>
        <v>8342426.6837763013</v>
      </c>
      <c r="W6" s="164">
        <f t="shared" si="0"/>
        <v>8466728.8413645681</v>
      </c>
      <c r="X6" s="164">
        <f t="shared" si="0"/>
        <v>8592883.1011009011</v>
      </c>
      <c r="Y6" s="164">
        <f t="shared" si="0"/>
        <v>8720917.0593073033</v>
      </c>
      <c r="Z6" s="164">
        <f t="shared" si="0"/>
        <v>8850858.7234909832</v>
      </c>
      <c r="AA6" s="164">
        <f t="shared" si="0"/>
        <v>8982736.5184709989</v>
      </c>
      <c r="AB6" s="165">
        <f>AB5*AB4</f>
        <v>9116579.2925962154</v>
      </c>
    </row>
    <row r="9" spans="1:28" ht="16" x14ac:dyDescent="0.4">
      <c r="B9" s="289" t="s">
        <v>224</v>
      </c>
      <c r="C9" s="289"/>
      <c r="D9" s="289"/>
      <c r="E9" s="289"/>
      <c r="F9" s="289"/>
      <c r="G9" s="289"/>
      <c r="H9" s="289"/>
      <c r="I9" s="150"/>
      <c r="J9" s="150"/>
      <c r="K9" s="150"/>
    </row>
  </sheetData>
  <mergeCells count="2">
    <mergeCell ref="A1:I1"/>
    <mergeCell ref="B9:H9"/>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FF2CA-4A12-4220-ABCD-032CA93701D4}">
  <dimension ref="A1:AB17"/>
  <sheetViews>
    <sheetView showGridLines="0" workbookViewId="0">
      <selection activeCell="D5" sqref="D5"/>
    </sheetView>
  </sheetViews>
  <sheetFormatPr defaultRowHeight="14.5" x14ac:dyDescent="0.35"/>
  <cols>
    <col min="1" max="1" width="45.1796875" style="1" customWidth="1"/>
    <col min="2" max="2" width="8.7265625" style="1"/>
    <col min="3" max="3" width="13" style="1" customWidth="1"/>
    <col min="4" max="4" width="17.54296875" style="1" customWidth="1"/>
    <col min="5" max="28" width="13" style="1" customWidth="1"/>
    <col min="29" max="16384" width="8.7265625" style="1"/>
  </cols>
  <sheetData>
    <row r="1" spans="1:28" ht="18.5" x14ac:dyDescent="0.45">
      <c r="A1" s="287" t="s">
        <v>227</v>
      </c>
      <c r="B1" s="287"/>
      <c r="C1" s="287"/>
      <c r="D1" s="287"/>
      <c r="E1" s="287"/>
      <c r="F1" s="287"/>
    </row>
    <row r="3" spans="1:28" s="129" customFormat="1" ht="16" x14ac:dyDescent="0.35">
      <c r="A3" s="184" t="s">
        <v>4</v>
      </c>
      <c r="B3" s="185" t="s">
        <v>6</v>
      </c>
      <c r="C3" s="185" t="s">
        <v>80</v>
      </c>
      <c r="D3" s="185" t="s">
        <v>55</v>
      </c>
      <c r="E3" s="185" t="s">
        <v>56</v>
      </c>
      <c r="F3" s="185" t="s">
        <v>57</v>
      </c>
      <c r="G3" s="185" t="s">
        <v>58</v>
      </c>
      <c r="H3" s="185" t="s">
        <v>59</v>
      </c>
      <c r="I3" s="185" t="s">
        <v>60</v>
      </c>
      <c r="J3" s="185" t="s">
        <v>61</v>
      </c>
      <c r="K3" s="185" t="s">
        <v>62</v>
      </c>
      <c r="L3" s="185" t="s">
        <v>63</v>
      </c>
      <c r="M3" s="185" t="s">
        <v>64</v>
      </c>
      <c r="N3" s="185" t="s">
        <v>65</v>
      </c>
      <c r="O3" s="185" t="s">
        <v>66</v>
      </c>
      <c r="P3" s="185" t="s">
        <v>67</v>
      </c>
      <c r="Q3" s="185" t="s">
        <v>68</v>
      </c>
      <c r="R3" s="185" t="s">
        <v>69</v>
      </c>
      <c r="S3" s="185" t="s">
        <v>70</v>
      </c>
      <c r="T3" s="185" t="s">
        <v>71</v>
      </c>
      <c r="U3" s="185" t="s">
        <v>72</v>
      </c>
      <c r="V3" s="185" t="s">
        <v>73</v>
      </c>
      <c r="W3" s="185" t="s">
        <v>74</v>
      </c>
      <c r="X3" s="185" t="s">
        <v>75</v>
      </c>
      <c r="Y3" s="185" t="s">
        <v>76</v>
      </c>
      <c r="Z3" s="185" t="s">
        <v>77</v>
      </c>
      <c r="AA3" s="185" t="s">
        <v>78</v>
      </c>
      <c r="AB3" s="186" t="s">
        <v>79</v>
      </c>
    </row>
    <row r="4" spans="1:28" x14ac:dyDescent="0.35">
      <c r="A4" s="175" t="s">
        <v>89</v>
      </c>
      <c r="B4" s="97" t="s">
        <v>23</v>
      </c>
      <c r="C4" s="181">
        <f>'03_Revenues'!C6</f>
        <v>0</v>
      </c>
      <c r="D4" s="181">
        <f>'03_Revenues'!D6</f>
        <v>6392545.8767999988</v>
      </c>
      <c r="E4" s="181">
        <f>'03_Revenues'!E6</f>
        <v>6487794.810364319</v>
      </c>
      <c r="F4" s="181">
        <f>'03_Revenues'!F6</f>
        <v>6584462.9530387474</v>
      </c>
      <c r="G4" s="181">
        <f>'03_Revenues'!G6</f>
        <v>6682571.4510390246</v>
      </c>
      <c r="H4" s="181">
        <f>'03_Revenues'!H6</f>
        <v>6782141.7656595055</v>
      </c>
      <c r="I4" s="181">
        <f>'03_Revenues'!I6</f>
        <v>6883195.6779678324</v>
      </c>
      <c r="J4" s="181">
        <f>'03_Revenues'!J6</f>
        <v>6985755.2935695518</v>
      </c>
      <c r="K4" s="181">
        <f>'03_Revenues'!K6</f>
        <v>7089843.0474437382</v>
      </c>
      <c r="L4" s="181">
        <f>'03_Revenues'!L6</f>
        <v>7195481.7088506492</v>
      </c>
      <c r="M4" s="181">
        <f>'03_Revenues'!M6</f>
        <v>7302694.3863125239</v>
      </c>
      <c r="N4" s="181">
        <f>'03_Revenues'!N6</f>
        <v>7411504.5326685803</v>
      </c>
      <c r="O4" s="181">
        <f>'03_Revenues'!O6</f>
        <v>7521935.9502053428</v>
      </c>
      <c r="P4" s="181">
        <f>'03_Revenues'!P6</f>
        <v>7634012.7958634021</v>
      </c>
      <c r="Q4" s="181">
        <f>'03_Revenues'!Q6</f>
        <v>7747759.586521768</v>
      </c>
      <c r="R4" s="181">
        <f>'03_Revenues'!R6</f>
        <v>7863201.2043609433</v>
      </c>
      <c r="S4" s="181">
        <f>'03_Revenues'!S6</f>
        <v>7980362.9023059206</v>
      </c>
      <c r="T4" s="181">
        <f>'03_Revenues'!T6</f>
        <v>8099270.3095502788</v>
      </c>
      <c r="U4" s="181">
        <f>'03_Revenues'!U6</f>
        <v>8219949.43716258</v>
      </c>
      <c r="V4" s="181">
        <f>'03_Revenues'!V6</f>
        <v>8342426.6837763013</v>
      </c>
      <c r="W4" s="181">
        <f>'03_Revenues'!W6</f>
        <v>8466728.8413645681</v>
      </c>
      <c r="X4" s="181">
        <f>'03_Revenues'!X6</f>
        <v>8592883.1011009011</v>
      </c>
      <c r="Y4" s="181">
        <f>'03_Revenues'!Y6</f>
        <v>8720917.0593073033</v>
      </c>
      <c r="Z4" s="181">
        <f>'03_Revenues'!Z6</f>
        <v>8850858.7234909832</v>
      </c>
      <c r="AA4" s="181">
        <f>'03_Revenues'!AA6</f>
        <v>8982736.5184709989</v>
      </c>
      <c r="AB4" s="182">
        <f>'03_Revenues'!AB6</f>
        <v>9116579.2925962154</v>
      </c>
    </row>
    <row r="5" spans="1:28" x14ac:dyDescent="0.35">
      <c r="A5" s="40" t="s">
        <v>9</v>
      </c>
      <c r="B5" s="100" t="s">
        <v>23</v>
      </c>
      <c r="C5" s="180">
        <v>0</v>
      </c>
      <c r="D5" s="178">
        <f>'01_Assumptions'!$B$12*(10^6)*(1+'01_Assumptions'!B15)</f>
        <v>1122000</v>
      </c>
      <c r="E5" s="178">
        <f>Table5[[#This Row],[Year 1]]*(1+'01_Assumptions'!$B$15)</f>
        <v>1144440</v>
      </c>
      <c r="F5" s="178">
        <f>Table5[[#This Row],[Year 2]]*(1+'01_Assumptions'!$B$15)</f>
        <v>1167328.8</v>
      </c>
      <c r="G5" s="178">
        <f>Table5[[#This Row],[Year 3]]*(1+'01_Assumptions'!$B$15)</f>
        <v>1190675.3760000002</v>
      </c>
      <c r="H5" s="178">
        <f>Table5[[#This Row],[Year 4]]*(1+'01_Assumptions'!$B$15)</f>
        <v>1214488.8835200001</v>
      </c>
      <c r="I5" s="178">
        <f>Table5[[#This Row],[Year 5]]*(1+'01_Assumptions'!$B$15)</f>
        <v>1238778.6611904001</v>
      </c>
      <c r="J5" s="178">
        <f>Table5[[#This Row],[Year 6]]*(1+'01_Assumptions'!$B$15)</f>
        <v>1263554.2344142082</v>
      </c>
      <c r="K5" s="178">
        <f>Table5[[#This Row],[Year 7]]*(1+'01_Assumptions'!$B$15)</f>
        <v>1288825.3191024924</v>
      </c>
      <c r="L5" s="178">
        <f>Table5[[#This Row],[Year 8]]*(1+'01_Assumptions'!$B$15)</f>
        <v>1314601.8254845422</v>
      </c>
      <c r="M5" s="178">
        <f>Table5[[#This Row],[Year 9]]*(1+'01_Assumptions'!$B$15)</f>
        <v>1340893.861994233</v>
      </c>
      <c r="N5" s="178">
        <f>Table5[[#This Row],[Year 10]]*(1+'01_Assumptions'!$B$15)</f>
        <v>1367711.7392341176</v>
      </c>
      <c r="O5" s="178">
        <f>Table5[[#This Row],[Year 11]]*(1+'01_Assumptions'!$B$15)</f>
        <v>1395065.9740187998</v>
      </c>
      <c r="P5" s="178">
        <f>Table5[[#This Row],[Year 12]]*(1+'01_Assumptions'!$B$15)</f>
        <v>1422967.2934991759</v>
      </c>
      <c r="Q5" s="178">
        <f>Table5[[#This Row],[Year 13]]*(1+'01_Assumptions'!$B$15)</f>
        <v>1451426.6393691595</v>
      </c>
      <c r="R5" s="178">
        <f>Table5[[#This Row],[Year 14]]*(1+'01_Assumptions'!$B$15)</f>
        <v>1480455.1721565428</v>
      </c>
      <c r="S5" s="178">
        <f>Table5[[#This Row],[Year 15]]*(1+'01_Assumptions'!$B$15)</f>
        <v>1510064.2755996736</v>
      </c>
      <c r="T5" s="178">
        <f>Table5[[#This Row],[Year 16]]*(1+'01_Assumptions'!$B$15)</f>
        <v>1540265.5611116672</v>
      </c>
      <c r="U5" s="178">
        <f>Table5[[#This Row],[Year 17]]*(1+'01_Assumptions'!$B$15)</f>
        <v>1571070.8723339005</v>
      </c>
      <c r="V5" s="178">
        <f>Table5[[#This Row],[Year 18]]*(1+'01_Assumptions'!$B$15)</f>
        <v>1602492.2897805786</v>
      </c>
      <c r="W5" s="178">
        <f>Table5[[#This Row],[Year 19]]*(1+'01_Assumptions'!$B$15)</f>
        <v>1634542.1355761902</v>
      </c>
      <c r="X5" s="178">
        <f>Table5[[#This Row],[Year 20]]*(1+'01_Assumptions'!$B$15)</f>
        <v>1667232.9782877141</v>
      </c>
      <c r="Y5" s="178">
        <f>Table5[[#This Row],[Year 21]]*(1+'01_Assumptions'!$B$15)</f>
        <v>1700577.6378534683</v>
      </c>
      <c r="Z5" s="178">
        <f>Table5[[#This Row],[Year 22]]*(1+'01_Assumptions'!$B$15)</f>
        <v>1734589.1906105378</v>
      </c>
      <c r="AA5" s="178">
        <f>Table5[[#This Row],[Year 23]]*(1+'01_Assumptions'!$B$15)</f>
        <v>1769280.9744227487</v>
      </c>
      <c r="AB5" s="179">
        <f>Table5[[#This Row],[Year 24]]*(1+'01_Assumptions'!$B$15)</f>
        <v>1804666.5939112036</v>
      </c>
    </row>
    <row r="6" spans="1:28" x14ac:dyDescent="0.35">
      <c r="A6" s="173" t="s">
        <v>96</v>
      </c>
      <c r="B6" s="163" t="s">
        <v>23</v>
      </c>
      <c r="C6" s="164">
        <f>C4-C5</f>
        <v>0</v>
      </c>
      <c r="D6" s="164">
        <f>D4-D5</f>
        <v>5270545.8767999988</v>
      </c>
      <c r="E6" s="164">
        <f>E4-E5</f>
        <v>5343354.810364319</v>
      </c>
      <c r="F6" s="164">
        <f t="shared" ref="F6:Z6" si="0">F4-F5</f>
        <v>5417134.1530387476</v>
      </c>
      <c r="G6" s="164">
        <f t="shared" si="0"/>
        <v>5491896.0750390245</v>
      </c>
      <c r="H6" s="164">
        <f t="shared" si="0"/>
        <v>5567652.8821395058</v>
      </c>
      <c r="I6" s="164">
        <f t="shared" si="0"/>
        <v>5644417.0167774325</v>
      </c>
      <c r="J6" s="164">
        <f t="shared" si="0"/>
        <v>5722201.0591553431</v>
      </c>
      <c r="K6" s="164">
        <f t="shared" si="0"/>
        <v>5801017.728341246</v>
      </c>
      <c r="L6" s="164">
        <f t="shared" si="0"/>
        <v>5880879.883366107</v>
      </c>
      <c r="M6" s="164">
        <f t="shared" si="0"/>
        <v>5961800.5243182909</v>
      </c>
      <c r="N6" s="164">
        <f t="shared" si="0"/>
        <v>6043792.7934344625</v>
      </c>
      <c r="O6" s="164">
        <f t="shared" si="0"/>
        <v>6126869.9761865428</v>
      </c>
      <c r="P6" s="164">
        <f t="shared" si="0"/>
        <v>6211045.5023642257</v>
      </c>
      <c r="Q6" s="164">
        <f t="shared" si="0"/>
        <v>6296332.947152609</v>
      </c>
      <c r="R6" s="164">
        <f t="shared" si="0"/>
        <v>6382746.0322044007</v>
      </c>
      <c r="S6" s="164">
        <f t="shared" si="0"/>
        <v>6470298.6267062472</v>
      </c>
      <c r="T6" s="164">
        <f t="shared" si="0"/>
        <v>6559004.7484386116</v>
      </c>
      <c r="U6" s="164">
        <f t="shared" si="0"/>
        <v>6648878.564828679</v>
      </c>
      <c r="V6" s="164">
        <f t="shared" si="0"/>
        <v>6739934.3939957228</v>
      </c>
      <c r="W6" s="164">
        <f t="shared" si="0"/>
        <v>6832186.7057883777</v>
      </c>
      <c r="X6" s="164">
        <f t="shared" si="0"/>
        <v>6925650.1228131875</v>
      </c>
      <c r="Y6" s="164">
        <f t="shared" si="0"/>
        <v>7020339.4214538354</v>
      </c>
      <c r="Z6" s="164">
        <f t="shared" si="0"/>
        <v>7116269.5328804459</v>
      </c>
      <c r="AA6" s="164">
        <f>AA4-AA5</f>
        <v>7213455.5440482497</v>
      </c>
      <c r="AB6" s="165">
        <f>AB4-AB5</f>
        <v>7311912.6986850118</v>
      </c>
    </row>
    <row r="9" spans="1:28" ht="16" x14ac:dyDescent="0.4">
      <c r="B9" s="289" t="s">
        <v>224</v>
      </c>
      <c r="C9" s="289"/>
      <c r="D9" s="289"/>
      <c r="E9" s="289"/>
      <c r="F9" s="289"/>
      <c r="G9" s="289"/>
      <c r="H9" s="132"/>
      <c r="J9" s="166"/>
      <c r="K9" s="166"/>
      <c r="L9" s="166"/>
      <c r="M9" s="166"/>
      <c r="N9" s="166"/>
      <c r="O9" s="166"/>
      <c r="P9" s="166"/>
      <c r="Q9" s="166"/>
      <c r="R9" s="166"/>
      <c r="S9" s="166"/>
      <c r="T9" s="166"/>
      <c r="U9" s="166"/>
      <c r="V9" s="166"/>
      <c r="W9" s="166"/>
      <c r="X9" s="166"/>
      <c r="Y9" s="166"/>
      <c r="Z9" s="166"/>
      <c r="AA9" s="166"/>
      <c r="AB9" s="166"/>
    </row>
    <row r="10" spans="1:28" x14ac:dyDescent="0.35">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row>
    <row r="16" spans="1:28" x14ac:dyDescent="0.35">
      <c r="A16" s="43" t="s">
        <v>94</v>
      </c>
    </row>
    <row r="17" spans="1:1" ht="43.5" x14ac:dyDescent="0.35">
      <c r="A17" s="167" t="s">
        <v>95</v>
      </c>
    </row>
  </sheetData>
  <mergeCells count="2">
    <mergeCell ref="A1:F1"/>
    <mergeCell ref="B9:G9"/>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EFB7-5B00-465C-AFE1-A78957912476}">
  <dimension ref="A1:AB20"/>
  <sheetViews>
    <sheetView showGridLines="0" workbookViewId="0">
      <selection activeCell="C12" sqref="C12:H12"/>
    </sheetView>
  </sheetViews>
  <sheetFormatPr defaultRowHeight="14.5" x14ac:dyDescent="0.35"/>
  <cols>
    <col min="1" max="1" width="29.54296875" style="1" customWidth="1"/>
    <col min="2" max="2" width="11.6328125" style="1" customWidth="1"/>
    <col min="3" max="28" width="12.1796875" style="1" customWidth="1"/>
    <col min="29" max="16384" width="8.7265625" style="1"/>
  </cols>
  <sheetData>
    <row r="1" spans="1:28" ht="18.5" x14ac:dyDescent="0.45">
      <c r="A1" s="287" t="s">
        <v>228</v>
      </c>
      <c r="B1" s="287"/>
      <c r="C1" s="287"/>
      <c r="D1" s="287"/>
      <c r="E1" s="287"/>
      <c r="F1" s="287"/>
      <c r="G1" s="287"/>
    </row>
    <row r="3" spans="1:28" s="183" customFormat="1" ht="16" x14ac:dyDescent="0.35">
      <c r="A3" s="187" t="s">
        <v>4</v>
      </c>
      <c r="B3" s="188" t="s">
        <v>6</v>
      </c>
      <c r="C3" s="188" t="s">
        <v>80</v>
      </c>
      <c r="D3" s="188" t="s">
        <v>55</v>
      </c>
      <c r="E3" s="188" t="s">
        <v>56</v>
      </c>
      <c r="F3" s="188" t="s">
        <v>57</v>
      </c>
      <c r="G3" s="188" t="s">
        <v>58</v>
      </c>
      <c r="H3" s="188" t="s">
        <v>59</v>
      </c>
      <c r="I3" s="188" t="s">
        <v>60</v>
      </c>
      <c r="J3" s="188" t="s">
        <v>61</v>
      </c>
      <c r="K3" s="188" t="s">
        <v>62</v>
      </c>
      <c r="L3" s="188" t="s">
        <v>63</v>
      </c>
      <c r="M3" s="188" t="s">
        <v>64</v>
      </c>
      <c r="N3" s="188" t="s">
        <v>65</v>
      </c>
      <c r="O3" s="188" t="s">
        <v>66</v>
      </c>
      <c r="P3" s="188" t="s">
        <v>67</v>
      </c>
      <c r="Q3" s="188" t="s">
        <v>68</v>
      </c>
      <c r="R3" s="188" t="s">
        <v>69</v>
      </c>
      <c r="S3" s="188" t="s">
        <v>70</v>
      </c>
      <c r="T3" s="188" t="s">
        <v>71</v>
      </c>
      <c r="U3" s="188" t="s">
        <v>72</v>
      </c>
      <c r="V3" s="188" t="s">
        <v>73</v>
      </c>
      <c r="W3" s="188" t="s">
        <v>74</v>
      </c>
      <c r="X3" s="188" t="s">
        <v>75</v>
      </c>
      <c r="Y3" s="188" t="s">
        <v>76</v>
      </c>
      <c r="Z3" s="188" t="s">
        <v>77</v>
      </c>
      <c r="AA3" s="188" t="s">
        <v>78</v>
      </c>
      <c r="AB3" s="189" t="s">
        <v>79</v>
      </c>
    </row>
    <row r="4" spans="1:28" x14ac:dyDescent="0.35">
      <c r="A4" s="175" t="s">
        <v>8</v>
      </c>
      <c r="B4" s="97" t="s">
        <v>23</v>
      </c>
      <c r="C4" s="181">
        <f>'01_Assumptions'!B11*10^6</f>
        <v>85000000</v>
      </c>
      <c r="D4" s="195">
        <v>0</v>
      </c>
      <c r="E4" s="195">
        <v>0</v>
      </c>
      <c r="F4" s="195">
        <v>0</v>
      </c>
      <c r="G4" s="195">
        <v>0</v>
      </c>
      <c r="H4" s="195">
        <v>0</v>
      </c>
      <c r="I4" s="195">
        <v>0</v>
      </c>
      <c r="J4" s="195">
        <v>0</v>
      </c>
      <c r="K4" s="195">
        <v>0</v>
      </c>
      <c r="L4" s="195">
        <v>0</v>
      </c>
      <c r="M4" s="195">
        <v>0</v>
      </c>
      <c r="N4" s="195">
        <v>0</v>
      </c>
      <c r="O4" s="195">
        <v>0</v>
      </c>
      <c r="P4" s="195">
        <v>0</v>
      </c>
      <c r="Q4" s="195">
        <v>0</v>
      </c>
      <c r="R4" s="195">
        <v>0</v>
      </c>
      <c r="S4" s="195">
        <v>0</v>
      </c>
      <c r="T4" s="195">
        <v>0</v>
      </c>
      <c r="U4" s="195">
        <v>0</v>
      </c>
      <c r="V4" s="195">
        <v>0</v>
      </c>
      <c r="W4" s="195">
        <v>0</v>
      </c>
      <c r="X4" s="195">
        <v>0</v>
      </c>
      <c r="Y4" s="195">
        <v>0</v>
      </c>
      <c r="Z4" s="195">
        <v>0</v>
      </c>
      <c r="AA4" s="195">
        <v>0</v>
      </c>
      <c r="AB4" s="196">
        <v>0</v>
      </c>
    </row>
    <row r="5" spans="1:28" x14ac:dyDescent="0.35">
      <c r="A5" s="40" t="s">
        <v>98</v>
      </c>
      <c r="B5" s="100" t="s">
        <v>130</v>
      </c>
      <c r="C5" s="197">
        <f>'01_Assumptions'!B7</f>
        <v>25</v>
      </c>
      <c r="D5" s="178"/>
      <c r="E5" s="178"/>
      <c r="F5" s="178"/>
      <c r="G5" s="178"/>
      <c r="H5" s="178"/>
      <c r="I5" s="178"/>
      <c r="J5" s="178"/>
      <c r="K5" s="178"/>
      <c r="L5" s="178"/>
      <c r="M5" s="178"/>
      <c r="N5" s="178"/>
      <c r="O5" s="178"/>
      <c r="P5" s="178"/>
      <c r="Q5" s="178"/>
      <c r="R5" s="178"/>
      <c r="S5" s="178"/>
      <c r="T5" s="178"/>
      <c r="U5" s="178"/>
      <c r="V5" s="178"/>
      <c r="W5" s="178"/>
      <c r="X5" s="178"/>
      <c r="Y5" s="178"/>
      <c r="Z5" s="178"/>
      <c r="AA5" s="178"/>
      <c r="AB5" s="179"/>
    </row>
    <row r="6" spans="1:28" x14ac:dyDescent="0.35">
      <c r="A6" s="37" t="s">
        <v>103</v>
      </c>
      <c r="B6" s="97" t="s">
        <v>121</v>
      </c>
      <c r="C6" s="198" t="s">
        <v>104</v>
      </c>
      <c r="D6" s="176"/>
      <c r="E6" s="176"/>
      <c r="F6" s="176"/>
      <c r="G6" s="176"/>
      <c r="H6" s="176"/>
      <c r="I6" s="176"/>
      <c r="J6" s="176"/>
      <c r="K6" s="176"/>
      <c r="L6" s="176"/>
      <c r="M6" s="176"/>
      <c r="N6" s="176"/>
      <c r="O6" s="176"/>
      <c r="P6" s="176"/>
      <c r="Q6" s="176"/>
      <c r="R6" s="176"/>
      <c r="S6" s="176"/>
      <c r="T6" s="176"/>
      <c r="U6" s="176"/>
      <c r="V6" s="176"/>
      <c r="W6" s="176"/>
      <c r="X6" s="176"/>
      <c r="Y6" s="176"/>
      <c r="Z6" s="176"/>
      <c r="AA6" s="176"/>
      <c r="AB6" s="177"/>
    </row>
    <row r="7" spans="1:28" x14ac:dyDescent="0.35">
      <c r="A7" s="40" t="s">
        <v>99</v>
      </c>
      <c r="B7" s="100" t="s">
        <v>15</v>
      </c>
      <c r="C7" s="199" t="s">
        <v>121</v>
      </c>
      <c r="D7" s="145">
        <f>1/$C$5</f>
        <v>0.04</v>
      </c>
      <c r="E7" s="145">
        <f t="shared" ref="E7:AB7" si="0">1/$C$5</f>
        <v>0.04</v>
      </c>
      <c r="F7" s="145">
        <f t="shared" si="0"/>
        <v>0.04</v>
      </c>
      <c r="G7" s="145">
        <f t="shared" si="0"/>
        <v>0.04</v>
      </c>
      <c r="H7" s="145">
        <f t="shared" si="0"/>
        <v>0.04</v>
      </c>
      <c r="I7" s="145">
        <f t="shared" si="0"/>
        <v>0.04</v>
      </c>
      <c r="J7" s="145">
        <f t="shared" si="0"/>
        <v>0.04</v>
      </c>
      <c r="K7" s="145">
        <f t="shared" si="0"/>
        <v>0.04</v>
      </c>
      <c r="L7" s="145">
        <f t="shared" si="0"/>
        <v>0.04</v>
      </c>
      <c r="M7" s="145">
        <f t="shared" si="0"/>
        <v>0.04</v>
      </c>
      <c r="N7" s="145">
        <f t="shared" si="0"/>
        <v>0.04</v>
      </c>
      <c r="O7" s="145">
        <f t="shared" si="0"/>
        <v>0.04</v>
      </c>
      <c r="P7" s="145">
        <f t="shared" si="0"/>
        <v>0.04</v>
      </c>
      <c r="Q7" s="145">
        <f t="shared" si="0"/>
        <v>0.04</v>
      </c>
      <c r="R7" s="145">
        <f t="shared" si="0"/>
        <v>0.04</v>
      </c>
      <c r="S7" s="145">
        <f t="shared" si="0"/>
        <v>0.04</v>
      </c>
      <c r="T7" s="145">
        <f t="shared" si="0"/>
        <v>0.04</v>
      </c>
      <c r="U7" s="145">
        <f t="shared" si="0"/>
        <v>0.04</v>
      </c>
      <c r="V7" s="145">
        <f t="shared" si="0"/>
        <v>0.04</v>
      </c>
      <c r="W7" s="145">
        <f t="shared" si="0"/>
        <v>0.04</v>
      </c>
      <c r="X7" s="145">
        <f t="shared" si="0"/>
        <v>0.04</v>
      </c>
      <c r="Y7" s="145">
        <f t="shared" si="0"/>
        <v>0.04</v>
      </c>
      <c r="Z7" s="145">
        <f t="shared" si="0"/>
        <v>0.04</v>
      </c>
      <c r="AA7" s="145">
        <f t="shared" si="0"/>
        <v>0.04</v>
      </c>
      <c r="AB7" s="191">
        <f t="shared" si="0"/>
        <v>0.04</v>
      </c>
    </row>
    <row r="8" spans="1:28" x14ac:dyDescent="0.35">
      <c r="A8" s="37" t="s">
        <v>100</v>
      </c>
      <c r="B8" s="97" t="s">
        <v>23</v>
      </c>
      <c r="C8" s="200">
        <f>0</f>
        <v>0</v>
      </c>
      <c r="D8" s="176">
        <f>$C$4*D7</f>
        <v>3400000</v>
      </c>
      <c r="E8" s="176">
        <f>$C$4*E7</f>
        <v>3400000</v>
      </c>
      <c r="F8" s="176">
        <f t="shared" ref="F8:K8" si="1">$C$4*F7</f>
        <v>3400000</v>
      </c>
      <c r="G8" s="176">
        <f t="shared" si="1"/>
        <v>3400000</v>
      </c>
      <c r="H8" s="176">
        <f t="shared" si="1"/>
        <v>3400000</v>
      </c>
      <c r="I8" s="176">
        <f t="shared" si="1"/>
        <v>3400000</v>
      </c>
      <c r="J8" s="176">
        <f t="shared" si="1"/>
        <v>3400000</v>
      </c>
      <c r="K8" s="176">
        <f t="shared" si="1"/>
        <v>3400000</v>
      </c>
      <c r="L8" s="176">
        <f t="shared" ref="L8" si="2">$C$4*L7</f>
        <v>3400000</v>
      </c>
      <c r="M8" s="176">
        <f t="shared" ref="M8" si="3">$C$4*M7</f>
        <v>3400000</v>
      </c>
      <c r="N8" s="176">
        <f t="shared" ref="N8" si="4">$C$4*N7</f>
        <v>3400000</v>
      </c>
      <c r="O8" s="176">
        <f t="shared" ref="O8" si="5">$C$4*O7</f>
        <v>3400000</v>
      </c>
      <c r="P8" s="176">
        <f t="shared" ref="P8:R8" si="6">$C$4*P7</f>
        <v>3400000</v>
      </c>
      <c r="Q8" s="176">
        <f t="shared" si="6"/>
        <v>3400000</v>
      </c>
      <c r="R8" s="176">
        <f t="shared" si="6"/>
        <v>3400000</v>
      </c>
      <c r="S8" s="176">
        <f t="shared" ref="S8" si="7">$C$4*S7</f>
        <v>3400000</v>
      </c>
      <c r="T8" s="176">
        <f t="shared" ref="T8" si="8">$C$4*T7</f>
        <v>3400000</v>
      </c>
      <c r="U8" s="176">
        <f t="shared" ref="U8" si="9">$C$4*U7</f>
        <v>3400000</v>
      </c>
      <c r="V8" s="176">
        <f t="shared" ref="V8" si="10">$C$4*V7</f>
        <v>3400000</v>
      </c>
      <c r="W8" s="176">
        <f t="shared" ref="W8:Y8" si="11">$C$4*W7</f>
        <v>3400000</v>
      </c>
      <c r="X8" s="176">
        <f t="shared" si="11"/>
        <v>3400000</v>
      </c>
      <c r="Y8" s="176">
        <f t="shared" si="11"/>
        <v>3400000</v>
      </c>
      <c r="Z8" s="176">
        <f t="shared" ref="Z8" si="12">$C$4*Z7</f>
        <v>3400000</v>
      </c>
      <c r="AA8" s="176">
        <f t="shared" ref="AA8" si="13">$C$4*AA7</f>
        <v>3400000</v>
      </c>
      <c r="AB8" s="177">
        <f>$C$4*AB7</f>
        <v>3400000</v>
      </c>
    </row>
    <row r="9" spans="1:28" x14ac:dyDescent="0.35">
      <c r="A9" s="40" t="s">
        <v>101</v>
      </c>
      <c r="B9" s="100" t="s">
        <v>23</v>
      </c>
      <c r="C9" s="192">
        <f>C8</f>
        <v>0</v>
      </c>
      <c r="D9" s="178">
        <f>D8</f>
        <v>3400000</v>
      </c>
      <c r="E9" s="192">
        <f>Table57[[#This Row],[Year 1]]+E8</f>
        <v>6800000</v>
      </c>
      <c r="F9" s="192">
        <f>Table57[[#This Row],[Year 2]]+F8</f>
        <v>10200000</v>
      </c>
      <c r="G9" s="192">
        <f>Table57[[#This Row],[Year 3]]+G8</f>
        <v>13600000</v>
      </c>
      <c r="H9" s="192">
        <f>Table57[[#This Row],[Year 4]]+H8</f>
        <v>17000000</v>
      </c>
      <c r="I9" s="192">
        <f>Table57[[#This Row],[Year 5]]+I8</f>
        <v>20400000</v>
      </c>
      <c r="J9" s="192">
        <f>Table57[[#This Row],[Year 6]]+J8</f>
        <v>23800000</v>
      </c>
      <c r="K9" s="192">
        <f>Table57[[#This Row],[Year 7]]+K8</f>
        <v>27200000</v>
      </c>
      <c r="L9" s="192">
        <f>Table57[[#This Row],[Year 8]]+L8</f>
        <v>30600000</v>
      </c>
      <c r="M9" s="192">
        <f>Table57[[#This Row],[Year 9]]+M8</f>
        <v>34000000</v>
      </c>
      <c r="N9" s="192">
        <f>Table57[[#This Row],[Year 10]]+N8</f>
        <v>37400000</v>
      </c>
      <c r="O9" s="192">
        <f>Table57[[#This Row],[Year 11]]+O8</f>
        <v>40800000</v>
      </c>
      <c r="P9" s="192">
        <f>Table57[[#This Row],[Year 12]]+P8</f>
        <v>44200000</v>
      </c>
      <c r="Q9" s="192">
        <f>Table57[[#This Row],[Year 13]]+Q8</f>
        <v>47600000</v>
      </c>
      <c r="R9" s="192">
        <f>Table57[[#This Row],[Year 14]]+R8</f>
        <v>51000000</v>
      </c>
      <c r="S9" s="192">
        <f>Table57[[#This Row],[Year 15]]+S8</f>
        <v>54400000</v>
      </c>
      <c r="T9" s="192">
        <f>Table57[[#This Row],[Year 16]]+T8</f>
        <v>57800000</v>
      </c>
      <c r="U9" s="192">
        <f>Table57[[#This Row],[Year 17]]+U8</f>
        <v>61200000</v>
      </c>
      <c r="V9" s="192">
        <f>Table57[[#This Row],[Year 18]]+V8</f>
        <v>64600000</v>
      </c>
      <c r="W9" s="192">
        <f>Table57[[#This Row],[Year 19]]+W8</f>
        <v>68000000</v>
      </c>
      <c r="X9" s="192">
        <f>Table57[[#This Row],[Year 20]]+X8</f>
        <v>71400000</v>
      </c>
      <c r="Y9" s="192">
        <f>Table57[[#This Row],[Year 21]]+Y8</f>
        <v>74800000</v>
      </c>
      <c r="Z9" s="192">
        <f>Table57[[#This Row],[Year 22]]+Z8</f>
        <v>78200000</v>
      </c>
      <c r="AA9" s="192">
        <f>Table57[[#This Row],[Year 23]]+AA8</f>
        <v>81600000</v>
      </c>
      <c r="AB9" s="193">
        <f>Table57[[#This Row],[Year 24]]+AB8</f>
        <v>85000000</v>
      </c>
    </row>
    <row r="10" spans="1:28" x14ac:dyDescent="0.35">
      <c r="A10" s="173" t="s">
        <v>102</v>
      </c>
      <c r="B10" s="163" t="s">
        <v>23</v>
      </c>
      <c r="C10" s="194">
        <f>C4-C9</f>
        <v>85000000</v>
      </c>
      <c r="D10" s="164">
        <f>C10-D8</f>
        <v>81600000</v>
      </c>
      <c r="E10" s="164">
        <f>D10-E8</f>
        <v>78200000</v>
      </c>
      <c r="F10" s="164">
        <f t="shared" ref="F10:AB10" si="14">E10-F8</f>
        <v>74800000</v>
      </c>
      <c r="G10" s="164">
        <f t="shared" si="14"/>
        <v>71400000</v>
      </c>
      <c r="H10" s="164">
        <f t="shared" si="14"/>
        <v>68000000</v>
      </c>
      <c r="I10" s="164">
        <f t="shared" si="14"/>
        <v>64600000</v>
      </c>
      <c r="J10" s="164">
        <f t="shared" si="14"/>
        <v>61200000</v>
      </c>
      <c r="K10" s="164">
        <f t="shared" si="14"/>
        <v>57800000</v>
      </c>
      <c r="L10" s="164">
        <f t="shared" si="14"/>
        <v>54400000</v>
      </c>
      <c r="M10" s="164">
        <f t="shared" si="14"/>
        <v>51000000</v>
      </c>
      <c r="N10" s="164">
        <f t="shared" si="14"/>
        <v>47600000</v>
      </c>
      <c r="O10" s="164">
        <f t="shared" si="14"/>
        <v>44200000</v>
      </c>
      <c r="P10" s="164">
        <f t="shared" si="14"/>
        <v>40800000</v>
      </c>
      <c r="Q10" s="164">
        <f t="shared" si="14"/>
        <v>37400000</v>
      </c>
      <c r="R10" s="164">
        <f t="shared" si="14"/>
        <v>34000000</v>
      </c>
      <c r="S10" s="164">
        <f t="shared" si="14"/>
        <v>30600000</v>
      </c>
      <c r="T10" s="164">
        <f t="shared" si="14"/>
        <v>27200000</v>
      </c>
      <c r="U10" s="164">
        <f t="shared" si="14"/>
        <v>23800000</v>
      </c>
      <c r="V10" s="164">
        <f t="shared" si="14"/>
        <v>20400000</v>
      </c>
      <c r="W10" s="164">
        <f t="shared" si="14"/>
        <v>17000000</v>
      </c>
      <c r="X10" s="164">
        <f t="shared" si="14"/>
        <v>13600000</v>
      </c>
      <c r="Y10" s="164">
        <f t="shared" si="14"/>
        <v>10200000</v>
      </c>
      <c r="Z10" s="164">
        <f t="shared" si="14"/>
        <v>6800000</v>
      </c>
      <c r="AA10" s="164">
        <f t="shared" si="14"/>
        <v>3400000</v>
      </c>
      <c r="AB10" s="165">
        <f t="shared" si="14"/>
        <v>0</v>
      </c>
    </row>
    <row r="12" spans="1:28" ht="16" x14ac:dyDescent="0.4">
      <c r="C12" s="289" t="s">
        <v>224</v>
      </c>
      <c r="D12" s="289"/>
      <c r="E12" s="289"/>
      <c r="F12" s="289"/>
      <c r="G12" s="289"/>
      <c r="H12" s="289"/>
    </row>
    <row r="19" spans="1:1" x14ac:dyDescent="0.35">
      <c r="A19" s="43" t="s">
        <v>94</v>
      </c>
    </row>
    <row r="20" spans="1:1" ht="43.5" x14ac:dyDescent="0.35">
      <c r="A20" s="167" t="s">
        <v>97</v>
      </c>
    </row>
  </sheetData>
  <mergeCells count="2">
    <mergeCell ref="A1:G1"/>
    <mergeCell ref="C12:H12"/>
  </mergeCells>
  <pageMargins left="0.7" right="0.7" top="0.75" bottom="0.75" header="0.3" footer="0.3"/>
  <ignoredErrors>
    <ignoredError sqref="C4:C10"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421F4-CC5F-4058-B42C-8CCEFF88E92A}">
  <dimension ref="A1:AB15"/>
  <sheetViews>
    <sheetView showGridLines="0" zoomScaleNormal="100" workbookViewId="0">
      <selection activeCell="C16" sqref="C16"/>
    </sheetView>
  </sheetViews>
  <sheetFormatPr defaultRowHeight="14.5" x14ac:dyDescent="0.35"/>
  <cols>
    <col min="1" max="1" width="26.6328125" style="1" customWidth="1"/>
    <col min="2" max="2" width="11.26953125" style="1" customWidth="1"/>
    <col min="3" max="4" width="14.1796875" style="1" customWidth="1"/>
    <col min="5" max="5" width="16.453125" style="1" customWidth="1"/>
    <col min="6" max="28" width="14.1796875" style="1" customWidth="1"/>
    <col min="29" max="16384" width="8.7265625" style="1"/>
  </cols>
  <sheetData>
    <row r="1" spans="1:28" ht="18.5" x14ac:dyDescent="0.45">
      <c r="A1" s="287" t="s">
        <v>229</v>
      </c>
      <c r="B1" s="287"/>
      <c r="C1" s="287"/>
      <c r="D1" s="287"/>
      <c r="E1" s="287"/>
      <c r="F1" s="287"/>
      <c r="G1" s="287"/>
    </row>
    <row r="3" spans="1:28" s="232" customFormat="1" ht="16" x14ac:dyDescent="0.4">
      <c r="A3" s="187" t="s">
        <v>4</v>
      </c>
      <c r="B3" s="188" t="s">
        <v>6</v>
      </c>
      <c r="C3" s="188" t="s">
        <v>80</v>
      </c>
      <c r="D3" s="188" t="s">
        <v>55</v>
      </c>
      <c r="E3" s="188" t="s">
        <v>56</v>
      </c>
      <c r="F3" s="188" t="s">
        <v>57</v>
      </c>
      <c r="G3" s="188" t="s">
        <v>58</v>
      </c>
      <c r="H3" s="188" t="s">
        <v>59</v>
      </c>
      <c r="I3" s="188" t="s">
        <v>60</v>
      </c>
      <c r="J3" s="188" t="s">
        <v>61</v>
      </c>
      <c r="K3" s="188" t="s">
        <v>62</v>
      </c>
      <c r="L3" s="188" t="s">
        <v>63</v>
      </c>
      <c r="M3" s="188" t="s">
        <v>64</v>
      </c>
      <c r="N3" s="188" t="s">
        <v>65</v>
      </c>
      <c r="O3" s="188" t="s">
        <v>66</v>
      </c>
      <c r="P3" s="188" t="s">
        <v>67</v>
      </c>
      <c r="Q3" s="188" t="s">
        <v>68</v>
      </c>
      <c r="R3" s="188" t="s">
        <v>69</v>
      </c>
      <c r="S3" s="188" t="s">
        <v>70</v>
      </c>
      <c r="T3" s="188" t="s">
        <v>71</v>
      </c>
      <c r="U3" s="188" t="s">
        <v>72</v>
      </c>
      <c r="V3" s="188" t="s">
        <v>73</v>
      </c>
      <c r="W3" s="188" t="s">
        <v>74</v>
      </c>
      <c r="X3" s="188" t="s">
        <v>75</v>
      </c>
      <c r="Y3" s="188" t="s">
        <v>76</v>
      </c>
      <c r="Z3" s="188" t="s">
        <v>77</v>
      </c>
      <c r="AA3" s="188" t="s">
        <v>78</v>
      </c>
      <c r="AB3" s="189" t="s">
        <v>79</v>
      </c>
    </row>
    <row r="4" spans="1:28" x14ac:dyDescent="0.35">
      <c r="A4" s="175" t="s">
        <v>8</v>
      </c>
      <c r="B4" s="97" t="s">
        <v>23</v>
      </c>
      <c r="C4" s="233">
        <f>'01_Assumptions'!B11*10^6</f>
        <v>85000000</v>
      </c>
      <c r="D4" s="234"/>
      <c r="E4" s="235"/>
      <c r="F4" s="234"/>
      <c r="G4" s="234"/>
      <c r="H4" s="234"/>
      <c r="I4" s="234"/>
      <c r="J4" s="234"/>
      <c r="K4" s="234"/>
      <c r="L4" s="234"/>
      <c r="M4" s="234"/>
      <c r="N4" s="234"/>
      <c r="O4" s="234"/>
      <c r="P4" s="234"/>
      <c r="Q4" s="234"/>
      <c r="R4" s="234"/>
      <c r="S4" s="234"/>
      <c r="T4" s="234"/>
      <c r="U4" s="234"/>
      <c r="V4" s="234"/>
      <c r="W4" s="234"/>
      <c r="X4" s="234"/>
      <c r="Y4" s="234"/>
      <c r="Z4" s="234"/>
      <c r="AA4" s="234"/>
      <c r="AB4" s="236"/>
    </row>
    <row r="5" spans="1:28" x14ac:dyDescent="0.35">
      <c r="A5" s="98" t="s">
        <v>112</v>
      </c>
      <c r="B5" s="100" t="s">
        <v>23</v>
      </c>
      <c r="C5" s="237" t="s">
        <v>121</v>
      </c>
      <c r="D5" s="178">
        <f>C11</f>
        <v>63750000</v>
      </c>
      <c r="E5" s="178">
        <f>D11</f>
        <v>59500000</v>
      </c>
      <c r="F5" s="178">
        <f>E11</f>
        <v>55250000</v>
      </c>
      <c r="G5" s="178">
        <f>F11</f>
        <v>51000000</v>
      </c>
      <c r="H5" s="178">
        <f t="shared" ref="H5:Q5" si="0">G11</f>
        <v>46750000</v>
      </c>
      <c r="I5" s="178">
        <f t="shared" si="0"/>
        <v>42500000</v>
      </c>
      <c r="J5" s="178">
        <f t="shared" si="0"/>
        <v>38250000</v>
      </c>
      <c r="K5" s="178">
        <f t="shared" si="0"/>
        <v>34000000</v>
      </c>
      <c r="L5" s="178">
        <f t="shared" si="0"/>
        <v>29750000</v>
      </c>
      <c r="M5" s="178">
        <f t="shared" si="0"/>
        <v>25500000</v>
      </c>
      <c r="N5" s="178">
        <f t="shared" si="0"/>
        <v>21250000</v>
      </c>
      <c r="O5" s="178">
        <f t="shared" si="0"/>
        <v>17000000</v>
      </c>
      <c r="P5" s="178">
        <f t="shared" si="0"/>
        <v>12750000</v>
      </c>
      <c r="Q5" s="178">
        <f t="shared" si="0"/>
        <v>8500000</v>
      </c>
      <c r="R5" s="178">
        <f>Q11</f>
        <v>4250000</v>
      </c>
      <c r="S5" s="178"/>
      <c r="T5" s="178"/>
      <c r="U5" s="178"/>
      <c r="V5" s="178"/>
      <c r="W5" s="178"/>
      <c r="X5" s="178"/>
      <c r="Y5" s="178"/>
      <c r="Z5" s="178"/>
      <c r="AA5" s="178"/>
      <c r="AB5" s="179"/>
    </row>
    <row r="6" spans="1:28" x14ac:dyDescent="0.35">
      <c r="A6" s="37" t="s">
        <v>105</v>
      </c>
      <c r="B6" s="97" t="s">
        <v>23</v>
      </c>
      <c r="C6" s="233">
        <f>C4*'01_Assumptions'!B24</f>
        <v>21250000</v>
      </c>
      <c r="D6" s="176"/>
      <c r="E6" s="176"/>
      <c r="F6" s="176"/>
      <c r="G6" s="176"/>
      <c r="H6" s="176"/>
      <c r="I6" s="176"/>
      <c r="J6" s="176"/>
      <c r="K6" s="176"/>
      <c r="L6" s="176"/>
      <c r="M6" s="176"/>
      <c r="N6" s="176"/>
      <c r="O6" s="176"/>
      <c r="P6" s="176"/>
      <c r="Q6" s="176"/>
      <c r="R6" s="176"/>
      <c r="S6" s="176"/>
      <c r="T6" s="176"/>
      <c r="U6" s="176"/>
      <c r="V6" s="176"/>
      <c r="W6" s="176"/>
      <c r="X6" s="176"/>
      <c r="Y6" s="176"/>
      <c r="Z6" s="176"/>
      <c r="AA6" s="176"/>
      <c r="AB6" s="177"/>
    </row>
    <row r="7" spans="1:28" x14ac:dyDescent="0.35">
      <c r="A7" s="40" t="s">
        <v>109</v>
      </c>
      <c r="B7" s="100" t="s">
        <v>15</v>
      </c>
      <c r="C7" s="238">
        <f>'01_Assumptions'!B26</f>
        <v>2.2499999999999999E-2</v>
      </c>
      <c r="D7" s="178"/>
      <c r="E7" s="178"/>
      <c r="F7" s="178"/>
      <c r="G7" s="178"/>
      <c r="H7" s="178"/>
      <c r="I7" s="178"/>
      <c r="J7" s="178"/>
      <c r="K7" s="178"/>
      <c r="L7" s="178"/>
      <c r="M7" s="178"/>
      <c r="N7" s="178"/>
      <c r="O7" s="178"/>
      <c r="P7" s="178"/>
      <c r="Q7" s="178"/>
      <c r="R7" s="178"/>
      <c r="S7" s="178"/>
      <c r="T7" s="178"/>
      <c r="U7" s="178"/>
      <c r="V7" s="178"/>
      <c r="W7" s="178"/>
      <c r="X7" s="178"/>
      <c r="Y7" s="178"/>
      <c r="Z7" s="178"/>
      <c r="AA7" s="178"/>
      <c r="AB7" s="179"/>
    </row>
    <row r="8" spans="1:28" x14ac:dyDescent="0.35">
      <c r="A8" s="37" t="s">
        <v>42</v>
      </c>
      <c r="B8" s="97" t="s">
        <v>130</v>
      </c>
      <c r="C8" s="239">
        <f>'01_Assumptions'!B25</f>
        <v>15</v>
      </c>
      <c r="D8" s="176"/>
      <c r="E8" s="176"/>
      <c r="F8" s="176"/>
      <c r="G8" s="176"/>
      <c r="H8" s="176"/>
      <c r="I8" s="176"/>
      <c r="J8" s="176"/>
      <c r="K8" s="176"/>
      <c r="L8" s="176"/>
      <c r="M8" s="176"/>
      <c r="N8" s="176"/>
      <c r="O8" s="176"/>
      <c r="P8" s="176"/>
      <c r="Q8" s="176"/>
      <c r="R8" s="176"/>
      <c r="S8" s="176"/>
      <c r="T8" s="176"/>
      <c r="U8" s="176"/>
      <c r="V8" s="176"/>
      <c r="W8" s="176"/>
      <c r="X8" s="176"/>
      <c r="Y8" s="176"/>
      <c r="Z8" s="176"/>
      <c r="AA8" s="176"/>
      <c r="AB8" s="177"/>
    </row>
    <row r="9" spans="1:28" x14ac:dyDescent="0.35">
      <c r="A9" s="40" t="s">
        <v>106</v>
      </c>
      <c r="B9" s="100" t="s">
        <v>23</v>
      </c>
      <c r="C9" s="240" t="s">
        <v>121</v>
      </c>
      <c r="D9" s="178">
        <f>$D$5*$C$7</f>
        <v>1434375</v>
      </c>
      <c r="E9" s="178">
        <f>$E$5*$C$7</f>
        <v>1338750</v>
      </c>
      <c r="F9" s="178">
        <f>$F$5*$C$7</f>
        <v>1243125</v>
      </c>
      <c r="G9" s="178">
        <f>$G$5*$C$7</f>
        <v>1147500</v>
      </c>
      <c r="H9" s="178">
        <f>$H$5*$C$7</f>
        <v>1051875</v>
      </c>
      <c r="I9" s="178">
        <f>$I$5*$C$7</f>
        <v>956250</v>
      </c>
      <c r="J9" s="178">
        <f>$J$5*$C$7</f>
        <v>860625</v>
      </c>
      <c r="K9" s="178">
        <f>$K$5*$C$7</f>
        <v>765000</v>
      </c>
      <c r="L9" s="178">
        <f>$L$5*$C$7</f>
        <v>669375</v>
      </c>
      <c r="M9" s="178">
        <f>$M$5*$C$7</f>
        <v>573750</v>
      </c>
      <c r="N9" s="178">
        <f>$N$5*$C$7</f>
        <v>478125</v>
      </c>
      <c r="O9" s="178">
        <f>$O$5*$C$7</f>
        <v>382500</v>
      </c>
      <c r="P9" s="178">
        <f>$P$5*$C$7</f>
        <v>286875</v>
      </c>
      <c r="Q9" s="178">
        <f>$Q$5*$C$7</f>
        <v>191250</v>
      </c>
      <c r="R9" s="178">
        <f>$R$5*$C$7</f>
        <v>95625</v>
      </c>
      <c r="S9" s="178"/>
      <c r="T9" s="178"/>
      <c r="U9" s="178"/>
      <c r="V9" s="178"/>
      <c r="W9" s="178"/>
      <c r="X9" s="178"/>
      <c r="Y9" s="178"/>
      <c r="Z9" s="178"/>
      <c r="AA9" s="178"/>
      <c r="AB9" s="179"/>
    </row>
    <row r="10" spans="1:28" x14ac:dyDescent="0.35">
      <c r="A10" s="37" t="s">
        <v>107</v>
      </c>
      <c r="B10" s="97" t="s">
        <v>23</v>
      </c>
      <c r="C10" s="198">
        <v>0</v>
      </c>
      <c r="D10" s="176">
        <f>$C$11/$C$8</f>
        <v>4250000</v>
      </c>
      <c r="E10" s="176">
        <f>$C$11/$C$8</f>
        <v>4250000</v>
      </c>
      <c r="F10" s="176">
        <f t="shared" ref="F10:R10" si="1">$C$11/$C$8</f>
        <v>4250000</v>
      </c>
      <c r="G10" s="176">
        <f t="shared" si="1"/>
        <v>4250000</v>
      </c>
      <c r="H10" s="176">
        <f t="shared" si="1"/>
        <v>4250000</v>
      </c>
      <c r="I10" s="176">
        <f>$C$11/$C$8</f>
        <v>4250000</v>
      </c>
      <c r="J10" s="176">
        <f t="shared" si="1"/>
        <v>4250000</v>
      </c>
      <c r="K10" s="176">
        <f t="shared" si="1"/>
        <v>4250000</v>
      </c>
      <c r="L10" s="176">
        <f t="shared" si="1"/>
        <v>4250000</v>
      </c>
      <c r="M10" s="176">
        <f t="shared" si="1"/>
        <v>4250000</v>
      </c>
      <c r="N10" s="176">
        <f t="shared" si="1"/>
        <v>4250000</v>
      </c>
      <c r="O10" s="176">
        <f t="shared" si="1"/>
        <v>4250000</v>
      </c>
      <c r="P10" s="176">
        <f t="shared" si="1"/>
        <v>4250000</v>
      </c>
      <c r="Q10" s="176">
        <f t="shared" si="1"/>
        <v>4250000</v>
      </c>
      <c r="R10" s="176">
        <f t="shared" si="1"/>
        <v>4250000</v>
      </c>
      <c r="S10" s="176"/>
      <c r="T10" s="176"/>
      <c r="U10" s="176"/>
      <c r="V10" s="176"/>
      <c r="W10" s="176"/>
      <c r="X10" s="176"/>
      <c r="Y10" s="176"/>
      <c r="Z10" s="176"/>
      <c r="AA10" s="176"/>
      <c r="AB10" s="177"/>
    </row>
    <row r="11" spans="1:28" x14ac:dyDescent="0.35">
      <c r="A11" s="241" t="s">
        <v>111</v>
      </c>
      <c r="B11" s="100" t="s">
        <v>23</v>
      </c>
      <c r="C11" s="237">
        <f>C4*'01_Assumptions'!B23</f>
        <v>63750000</v>
      </c>
      <c r="D11" s="178">
        <f>D5-D10</f>
        <v>59500000</v>
      </c>
      <c r="E11" s="178">
        <f>E5-E10</f>
        <v>55250000</v>
      </c>
      <c r="F11" s="178">
        <f t="shared" ref="F11:Q11" si="2">F5-F10</f>
        <v>51000000</v>
      </c>
      <c r="G11" s="178">
        <f t="shared" si="2"/>
        <v>46750000</v>
      </c>
      <c r="H11" s="178">
        <f t="shared" si="2"/>
        <v>42500000</v>
      </c>
      <c r="I11" s="178">
        <f>I5-I10</f>
        <v>38250000</v>
      </c>
      <c r="J11" s="178">
        <f t="shared" si="2"/>
        <v>34000000</v>
      </c>
      <c r="K11" s="178">
        <f t="shared" si="2"/>
        <v>29750000</v>
      </c>
      <c r="L11" s="178">
        <f t="shared" si="2"/>
        <v>25500000</v>
      </c>
      <c r="M11" s="178">
        <f t="shared" si="2"/>
        <v>21250000</v>
      </c>
      <c r="N11" s="178">
        <f t="shared" si="2"/>
        <v>17000000</v>
      </c>
      <c r="O11" s="178">
        <f t="shared" si="2"/>
        <v>12750000</v>
      </c>
      <c r="P11" s="178">
        <f t="shared" si="2"/>
        <v>8500000</v>
      </c>
      <c r="Q11" s="178">
        <f t="shared" si="2"/>
        <v>4250000</v>
      </c>
      <c r="R11" s="178">
        <f>R5-R10</f>
        <v>0</v>
      </c>
      <c r="S11" s="178"/>
      <c r="T11" s="178"/>
      <c r="U11" s="178"/>
      <c r="V11" s="178"/>
      <c r="W11" s="178"/>
      <c r="X11" s="178"/>
      <c r="Y11" s="178"/>
      <c r="Z11" s="178"/>
      <c r="AA11" s="178"/>
      <c r="AB11" s="179"/>
    </row>
    <row r="12" spans="1:28" x14ac:dyDescent="0.35">
      <c r="A12" s="173" t="s">
        <v>108</v>
      </c>
      <c r="B12" s="163" t="s">
        <v>23</v>
      </c>
      <c r="C12" s="242" t="s">
        <v>121</v>
      </c>
      <c r="D12" s="164">
        <f>D10+D9</f>
        <v>5684375</v>
      </c>
      <c r="E12" s="164">
        <f t="shared" ref="E12:Q12" si="3">E10+E9</f>
        <v>5588750</v>
      </c>
      <c r="F12" s="164">
        <f t="shared" si="3"/>
        <v>5493125</v>
      </c>
      <c r="G12" s="164">
        <f t="shared" si="3"/>
        <v>5397500</v>
      </c>
      <c r="H12" s="164">
        <f t="shared" si="3"/>
        <v>5301875</v>
      </c>
      <c r="I12" s="164">
        <f t="shared" si="3"/>
        <v>5206250</v>
      </c>
      <c r="J12" s="164">
        <f t="shared" si="3"/>
        <v>5110625</v>
      </c>
      <c r="K12" s="164">
        <f t="shared" si="3"/>
        <v>5015000</v>
      </c>
      <c r="L12" s="164">
        <f t="shared" si="3"/>
        <v>4919375</v>
      </c>
      <c r="M12" s="164">
        <f t="shared" si="3"/>
        <v>4823750</v>
      </c>
      <c r="N12" s="164">
        <f t="shared" si="3"/>
        <v>4728125</v>
      </c>
      <c r="O12" s="164">
        <f t="shared" si="3"/>
        <v>4632500</v>
      </c>
      <c r="P12" s="164">
        <f t="shared" si="3"/>
        <v>4536875</v>
      </c>
      <c r="Q12" s="164">
        <f t="shared" si="3"/>
        <v>4441250</v>
      </c>
      <c r="R12" s="164">
        <f>R10+R9</f>
        <v>4345625</v>
      </c>
      <c r="S12" s="164"/>
      <c r="T12" s="164"/>
      <c r="U12" s="164"/>
      <c r="V12" s="164"/>
      <c r="W12" s="164"/>
      <c r="X12" s="164"/>
      <c r="Y12" s="164"/>
      <c r="Z12" s="164"/>
      <c r="AA12" s="164"/>
      <c r="AB12" s="165"/>
    </row>
    <row r="13" spans="1:28" x14ac:dyDescent="0.35">
      <c r="C13" s="131"/>
    </row>
    <row r="15" spans="1:28" ht="16" x14ac:dyDescent="0.4">
      <c r="D15" s="315" t="s">
        <v>241</v>
      </c>
      <c r="E15" s="315"/>
      <c r="F15" s="315"/>
      <c r="G15" s="315"/>
      <c r="H15" s="315"/>
      <c r="I15" s="315"/>
    </row>
  </sheetData>
  <mergeCells count="2">
    <mergeCell ref="A1:G1"/>
    <mergeCell ref="D15:I15"/>
  </mergeCells>
  <pageMargins left="0.7" right="0.7" top="0.75" bottom="0.75" header="0.3" footer="0.3"/>
  <ignoredErrors>
    <ignoredError sqref="C4 C7:C8 C10:C11 E10:E12 C6:E6 C12:D12 D11 C9:E9 D7:E8 C5:D5"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9A0BE-1273-421B-8325-E22BC231A225}">
  <dimension ref="A1:AB30"/>
  <sheetViews>
    <sheetView showGridLines="0" workbookViewId="0">
      <selection activeCell="C16" sqref="C16"/>
    </sheetView>
  </sheetViews>
  <sheetFormatPr defaultRowHeight="14.5" x14ac:dyDescent="0.35"/>
  <cols>
    <col min="1" max="1" width="25.26953125" style="1" customWidth="1"/>
    <col min="2" max="2" width="9.453125" style="1" customWidth="1"/>
    <col min="3" max="3" width="13.26953125" style="1" customWidth="1"/>
    <col min="4" max="28" width="13.6328125" style="1" customWidth="1"/>
    <col min="29" max="16384" width="8.7265625" style="1"/>
  </cols>
  <sheetData>
    <row r="1" spans="1:28" ht="18.5" x14ac:dyDescent="0.45">
      <c r="A1" s="287" t="s">
        <v>230</v>
      </c>
      <c r="B1" s="287"/>
      <c r="C1" s="287"/>
      <c r="D1" s="287"/>
      <c r="E1" s="287"/>
      <c r="F1" s="287"/>
      <c r="G1" s="287"/>
    </row>
    <row r="3" spans="1:28" s="174" customFormat="1" ht="16" x14ac:dyDescent="0.4">
      <c r="A3" s="203" t="s">
        <v>4</v>
      </c>
      <c r="B3" s="204" t="s">
        <v>6</v>
      </c>
      <c r="C3" s="204" t="s">
        <v>80</v>
      </c>
      <c r="D3" s="205" t="s">
        <v>55</v>
      </c>
      <c r="E3" s="205" t="s">
        <v>56</v>
      </c>
      <c r="F3" s="205" t="s">
        <v>57</v>
      </c>
      <c r="G3" s="205" t="s">
        <v>58</v>
      </c>
      <c r="H3" s="205" t="s">
        <v>59</v>
      </c>
      <c r="I3" s="205" t="s">
        <v>60</v>
      </c>
      <c r="J3" s="205" t="s">
        <v>61</v>
      </c>
      <c r="K3" s="205" t="s">
        <v>62</v>
      </c>
      <c r="L3" s="205" t="s">
        <v>63</v>
      </c>
      <c r="M3" s="205" t="s">
        <v>64</v>
      </c>
      <c r="N3" s="205" t="s">
        <v>65</v>
      </c>
      <c r="O3" s="205" t="s">
        <v>66</v>
      </c>
      <c r="P3" s="205" t="s">
        <v>67</v>
      </c>
      <c r="Q3" s="205" t="s">
        <v>68</v>
      </c>
      <c r="R3" s="205" t="s">
        <v>69</v>
      </c>
      <c r="S3" s="205" t="s">
        <v>70</v>
      </c>
      <c r="T3" s="205" t="s">
        <v>71</v>
      </c>
      <c r="U3" s="205" t="s">
        <v>72</v>
      </c>
      <c r="V3" s="205" t="s">
        <v>73</v>
      </c>
      <c r="W3" s="205" t="s">
        <v>74</v>
      </c>
      <c r="X3" s="205" t="s">
        <v>75</v>
      </c>
      <c r="Y3" s="205" t="s">
        <v>76</v>
      </c>
      <c r="Z3" s="205" t="s">
        <v>77</v>
      </c>
      <c r="AA3" s="205" t="s">
        <v>78</v>
      </c>
      <c r="AB3" s="206" t="s">
        <v>79</v>
      </c>
    </row>
    <row r="4" spans="1:28" x14ac:dyDescent="0.35">
      <c r="A4" s="112" t="s">
        <v>89</v>
      </c>
      <c r="B4" s="207" t="s">
        <v>23</v>
      </c>
      <c r="C4" s="181">
        <f>'03_Revenues'!C6</f>
        <v>0</v>
      </c>
      <c r="D4" s="181">
        <f>'03_Revenues'!D6</f>
        <v>6392545.8767999988</v>
      </c>
      <c r="E4" s="181">
        <f>'03_Revenues'!E6</f>
        <v>6487794.810364319</v>
      </c>
      <c r="F4" s="181">
        <f>'03_Revenues'!F6</f>
        <v>6584462.9530387474</v>
      </c>
      <c r="G4" s="181">
        <f>'03_Revenues'!G6</f>
        <v>6682571.4510390246</v>
      </c>
      <c r="H4" s="181">
        <f>'03_Revenues'!H6</f>
        <v>6782141.7656595055</v>
      </c>
      <c r="I4" s="181">
        <f>'03_Revenues'!I6</f>
        <v>6883195.6779678324</v>
      </c>
      <c r="J4" s="181">
        <f>'03_Revenues'!J6</f>
        <v>6985755.2935695518</v>
      </c>
      <c r="K4" s="181">
        <f>'03_Revenues'!K6</f>
        <v>7089843.0474437382</v>
      </c>
      <c r="L4" s="181">
        <f>'03_Revenues'!L6</f>
        <v>7195481.7088506492</v>
      </c>
      <c r="M4" s="181">
        <f>'03_Revenues'!M6</f>
        <v>7302694.3863125239</v>
      </c>
      <c r="N4" s="181">
        <f>'03_Revenues'!N6</f>
        <v>7411504.5326685803</v>
      </c>
      <c r="O4" s="181">
        <f>'03_Revenues'!O6</f>
        <v>7521935.9502053428</v>
      </c>
      <c r="P4" s="181">
        <f>'03_Revenues'!P6</f>
        <v>7634012.7958634021</v>
      </c>
      <c r="Q4" s="181">
        <f>'03_Revenues'!Q6</f>
        <v>7747759.586521768</v>
      </c>
      <c r="R4" s="181">
        <f>'03_Revenues'!R6</f>
        <v>7863201.2043609433</v>
      </c>
      <c r="S4" s="181">
        <f>'03_Revenues'!S6</f>
        <v>7980362.9023059206</v>
      </c>
      <c r="T4" s="181">
        <f>'03_Revenues'!T6</f>
        <v>8099270.3095502788</v>
      </c>
      <c r="U4" s="181">
        <f>'03_Revenues'!U6</f>
        <v>8219949.43716258</v>
      </c>
      <c r="V4" s="181">
        <f>'03_Revenues'!V6</f>
        <v>8342426.6837763013</v>
      </c>
      <c r="W4" s="181">
        <f>'03_Revenues'!W6</f>
        <v>8466728.8413645681</v>
      </c>
      <c r="X4" s="181">
        <f>'03_Revenues'!X6</f>
        <v>8592883.1011009011</v>
      </c>
      <c r="Y4" s="181">
        <f>'03_Revenues'!Y6</f>
        <v>8720917.0593073033</v>
      </c>
      <c r="Z4" s="181">
        <f>'03_Revenues'!Z6</f>
        <v>8850858.7234909832</v>
      </c>
      <c r="AA4" s="181">
        <f>'03_Revenues'!AA6</f>
        <v>8982736.5184709989</v>
      </c>
      <c r="AB4" s="182">
        <f>'03_Revenues'!AB6</f>
        <v>9116579.2925962154</v>
      </c>
    </row>
    <row r="5" spans="1:28" x14ac:dyDescent="0.35">
      <c r="A5" s="114" t="s">
        <v>9</v>
      </c>
      <c r="B5" s="208" t="s">
        <v>23</v>
      </c>
      <c r="C5" s="215">
        <f>'04_Costs'!C5</f>
        <v>0</v>
      </c>
      <c r="D5" s="215">
        <f>'04_Costs'!D5</f>
        <v>1122000</v>
      </c>
      <c r="E5" s="215">
        <f>'04_Costs'!E5</f>
        <v>1144440</v>
      </c>
      <c r="F5" s="215">
        <f>'04_Costs'!F5</f>
        <v>1167328.8</v>
      </c>
      <c r="G5" s="215">
        <f>'04_Costs'!G5</f>
        <v>1190675.3760000002</v>
      </c>
      <c r="H5" s="215">
        <f>'04_Costs'!H5</f>
        <v>1214488.8835200001</v>
      </c>
      <c r="I5" s="215">
        <f>'04_Costs'!I5</f>
        <v>1238778.6611904001</v>
      </c>
      <c r="J5" s="215">
        <f>'04_Costs'!J5</f>
        <v>1263554.2344142082</v>
      </c>
      <c r="K5" s="215">
        <f>'04_Costs'!K5</f>
        <v>1288825.3191024924</v>
      </c>
      <c r="L5" s="215">
        <f>'04_Costs'!L5</f>
        <v>1314601.8254845422</v>
      </c>
      <c r="M5" s="215">
        <f>'04_Costs'!M5</f>
        <v>1340893.861994233</v>
      </c>
      <c r="N5" s="215">
        <f>'04_Costs'!N5</f>
        <v>1367711.7392341176</v>
      </c>
      <c r="O5" s="215">
        <f>'04_Costs'!O5</f>
        <v>1395065.9740187998</v>
      </c>
      <c r="P5" s="215">
        <f>'04_Costs'!P5</f>
        <v>1422967.2934991759</v>
      </c>
      <c r="Q5" s="215">
        <f>'04_Costs'!Q5</f>
        <v>1451426.6393691595</v>
      </c>
      <c r="R5" s="215">
        <f>'04_Costs'!R5</f>
        <v>1480455.1721565428</v>
      </c>
      <c r="S5" s="215">
        <f>'04_Costs'!S5</f>
        <v>1510064.2755996736</v>
      </c>
      <c r="T5" s="215">
        <f>'04_Costs'!T5</f>
        <v>1540265.5611116672</v>
      </c>
      <c r="U5" s="215">
        <f>'04_Costs'!U5</f>
        <v>1571070.8723339005</v>
      </c>
      <c r="V5" s="215">
        <f>'04_Costs'!V5</f>
        <v>1602492.2897805786</v>
      </c>
      <c r="W5" s="215">
        <f>'04_Costs'!W5</f>
        <v>1634542.1355761902</v>
      </c>
      <c r="X5" s="215">
        <f>'04_Costs'!X5</f>
        <v>1667232.9782877141</v>
      </c>
      <c r="Y5" s="215">
        <f>'04_Costs'!Y5</f>
        <v>1700577.6378534683</v>
      </c>
      <c r="Z5" s="215">
        <f>'04_Costs'!Z5</f>
        <v>1734589.1906105378</v>
      </c>
      <c r="AA5" s="215">
        <f>'04_Costs'!AA5</f>
        <v>1769280.9744227487</v>
      </c>
      <c r="AB5" s="216">
        <f>'04_Costs'!AB5</f>
        <v>1804666.5939112036</v>
      </c>
    </row>
    <row r="6" spans="1:28" x14ac:dyDescent="0.35">
      <c r="A6" s="112" t="s">
        <v>96</v>
      </c>
      <c r="B6" s="207" t="s">
        <v>23</v>
      </c>
      <c r="C6" s="176">
        <f>C4-C5</f>
        <v>0</v>
      </c>
      <c r="D6" s="176">
        <f>D4-D5</f>
        <v>5270545.8767999988</v>
      </c>
      <c r="E6" s="176">
        <f>E4-E5</f>
        <v>5343354.810364319</v>
      </c>
      <c r="F6" s="176">
        <f t="shared" ref="F6:AB6" si="0">F4-F5</f>
        <v>5417134.1530387476</v>
      </c>
      <c r="G6" s="176">
        <f t="shared" si="0"/>
        <v>5491896.0750390245</v>
      </c>
      <c r="H6" s="176">
        <f t="shared" si="0"/>
        <v>5567652.8821395058</v>
      </c>
      <c r="I6" s="176">
        <f t="shared" si="0"/>
        <v>5644417.0167774325</v>
      </c>
      <c r="J6" s="176">
        <f t="shared" si="0"/>
        <v>5722201.0591553431</v>
      </c>
      <c r="K6" s="176">
        <f t="shared" si="0"/>
        <v>5801017.728341246</v>
      </c>
      <c r="L6" s="176">
        <f t="shared" si="0"/>
        <v>5880879.883366107</v>
      </c>
      <c r="M6" s="176">
        <f t="shared" si="0"/>
        <v>5961800.5243182909</v>
      </c>
      <c r="N6" s="176">
        <f t="shared" si="0"/>
        <v>6043792.7934344625</v>
      </c>
      <c r="O6" s="176">
        <f t="shared" si="0"/>
        <v>6126869.9761865428</v>
      </c>
      <c r="P6" s="176">
        <f t="shared" si="0"/>
        <v>6211045.5023642257</v>
      </c>
      <c r="Q6" s="176">
        <f t="shared" si="0"/>
        <v>6296332.947152609</v>
      </c>
      <c r="R6" s="176">
        <f t="shared" si="0"/>
        <v>6382746.0322044007</v>
      </c>
      <c r="S6" s="176">
        <f t="shared" si="0"/>
        <v>6470298.6267062472</v>
      </c>
      <c r="T6" s="176">
        <f t="shared" si="0"/>
        <v>6559004.7484386116</v>
      </c>
      <c r="U6" s="176">
        <f t="shared" si="0"/>
        <v>6648878.564828679</v>
      </c>
      <c r="V6" s="176">
        <f t="shared" si="0"/>
        <v>6739934.3939957228</v>
      </c>
      <c r="W6" s="176">
        <f t="shared" si="0"/>
        <v>6832186.7057883777</v>
      </c>
      <c r="X6" s="176">
        <f t="shared" si="0"/>
        <v>6925650.1228131875</v>
      </c>
      <c r="Y6" s="176">
        <f t="shared" si="0"/>
        <v>7020339.4214538354</v>
      </c>
      <c r="Z6" s="176">
        <f t="shared" si="0"/>
        <v>7116269.5328804459</v>
      </c>
      <c r="AA6" s="176">
        <f t="shared" si="0"/>
        <v>7213455.5440482497</v>
      </c>
      <c r="AB6" s="177">
        <f t="shared" si="0"/>
        <v>7311912.6986850118</v>
      </c>
    </row>
    <row r="7" spans="1:28" x14ac:dyDescent="0.35">
      <c r="A7" s="114" t="s">
        <v>238</v>
      </c>
      <c r="B7" s="208" t="s">
        <v>23</v>
      </c>
      <c r="C7" s="215">
        <f>'05_Depreciation'!C8</f>
        <v>0</v>
      </c>
      <c r="D7" s="215">
        <f>'05_Depreciation'!D8</f>
        <v>3400000</v>
      </c>
      <c r="E7" s="215">
        <f>'05_Depreciation'!E8</f>
        <v>3400000</v>
      </c>
      <c r="F7" s="215">
        <f>'05_Depreciation'!F8</f>
        <v>3400000</v>
      </c>
      <c r="G7" s="215">
        <f>'05_Depreciation'!G8</f>
        <v>3400000</v>
      </c>
      <c r="H7" s="215">
        <f>'05_Depreciation'!H8</f>
        <v>3400000</v>
      </c>
      <c r="I7" s="215">
        <f>'05_Depreciation'!I8</f>
        <v>3400000</v>
      </c>
      <c r="J7" s="215">
        <f>'05_Depreciation'!J8</f>
        <v>3400000</v>
      </c>
      <c r="K7" s="215">
        <f>'05_Depreciation'!K8</f>
        <v>3400000</v>
      </c>
      <c r="L7" s="215">
        <f>'05_Depreciation'!L8</f>
        <v>3400000</v>
      </c>
      <c r="M7" s="215">
        <f>'05_Depreciation'!M8</f>
        <v>3400000</v>
      </c>
      <c r="N7" s="215">
        <f>'05_Depreciation'!N8</f>
        <v>3400000</v>
      </c>
      <c r="O7" s="215">
        <f>'05_Depreciation'!O8</f>
        <v>3400000</v>
      </c>
      <c r="P7" s="215">
        <f>'05_Depreciation'!P8</f>
        <v>3400000</v>
      </c>
      <c r="Q7" s="215">
        <f>'05_Depreciation'!Q8</f>
        <v>3400000</v>
      </c>
      <c r="R7" s="215">
        <f>'05_Depreciation'!R8</f>
        <v>3400000</v>
      </c>
      <c r="S7" s="215">
        <f>'05_Depreciation'!S8</f>
        <v>3400000</v>
      </c>
      <c r="T7" s="215">
        <f>'05_Depreciation'!T8</f>
        <v>3400000</v>
      </c>
      <c r="U7" s="215">
        <f>'05_Depreciation'!U8</f>
        <v>3400000</v>
      </c>
      <c r="V7" s="215">
        <f>'05_Depreciation'!V8</f>
        <v>3400000</v>
      </c>
      <c r="W7" s="215">
        <f>'05_Depreciation'!W8</f>
        <v>3400000</v>
      </c>
      <c r="X7" s="215">
        <f>'05_Depreciation'!X8</f>
        <v>3400000</v>
      </c>
      <c r="Y7" s="215">
        <f>'05_Depreciation'!Y8</f>
        <v>3400000</v>
      </c>
      <c r="Z7" s="215">
        <f>'05_Depreciation'!Z8</f>
        <v>3400000</v>
      </c>
      <c r="AA7" s="215">
        <f>'05_Depreciation'!AA8</f>
        <v>3400000</v>
      </c>
      <c r="AB7" s="216">
        <f>'05_Depreciation'!AB8</f>
        <v>3400000</v>
      </c>
    </row>
    <row r="8" spans="1:28" x14ac:dyDescent="0.35">
      <c r="A8" s="112" t="s">
        <v>113</v>
      </c>
      <c r="B8" s="207" t="s">
        <v>23</v>
      </c>
      <c r="C8" s="176">
        <f>C6-C7</f>
        <v>0</v>
      </c>
      <c r="D8" s="176">
        <f>D6-D7</f>
        <v>1870545.8767999988</v>
      </c>
      <c r="E8" s="176">
        <f t="shared" ref="E8:AA8" si="1">E6-E7</f>
        <v>1943354.810364319</v>
      </c>
      <c r="F8" s="176">
        <f t="shared" si="1"/>
        <v>2017134.1530387476</v>
      </c>
      <c r="G8" s="176">
        <f t="shared" si="1"/>
        <v>2091896.0750390245</v>
      </c>
      <c r="H8" s="176">
        <f t="shared" si="1"/>
        <v>2167652.8821395058</v>
      </c>
      <c r="I8" s="176">
        <f t="shared" si="1"/>
        <v>2244417.0167774325</v>
      </c>
      <c r="J8" s="176">
        <f t="shared" si="1"/>
        <v>2322201.0591553431</v>
      </c>
      <c r="K8" s="176">
        <f t="shared" si="1"/>
        <v>2401017.728341246</v>
      </c>
      <c r="L8" s="176">
        <f t="shared" si="1"/>
        <v>2480879.883366107</v>
      </c>
      <c r="M8" s="176">
        <f t="shared" si="1"/>
        <v>2561800.5243182909</v>
      </c>
      <c r="N8" s="176">
        <f t="shared" si="1"/>
        <v>2643792.7934344625</v>
      </c>
      <c r="O8" s="176">
        <f t="shared" si="1"/>
        <v>2726869.9761865428</v>
      </c>
      <c r="P8" s="176">
        <f t="shared" si="1"/>
        <v>2811045.5023642257</v>
      </c>
      <c r="Q8" s="176">
        <f t="shared" si="1"/>
        <v>2896332.947152609</v>
      </c>
      <c r="R8" s="176">
        <f>R6-R7</f>
        <v>2982746.0322044007</v>
      </c>
      <c r="S8" s="176">
        <f t="shared" si="1"/>
        <v>3070298.6267062472</v>
      </c>
      <c r="T8" s="176">
        <f t="shared" si="1"/>
        <v>3159004.7484386116</v>
      </c>
      <c r="U8" s="176">
        <f t="shared" si="1"/>
        <v>3248878.564828679</v>
      </c>
      <c r="V8" s="176">
        <f t="shared" si="1"/>
        <v>3339934.3939957228</v>
      </c>
      <c r="W8" s="176">
        <f t="shared" si="1"/>
        <v>3432186.7057883777</v>
      </c>
      <c r="X8" s="176">
        <f t="shared" si="1"/>
        <v>3525650.1228131875</v>
      </c>
      <c r="Y8" s="176">
        <f t="shared" si="1"/>
        <v>3620339.4214538354</v>
      </c>
      <c r="Z8" s="176">
        <f t="shared" si="1"/>
        <v>3716269.5328804459</v>
      </c>
      <c r="AA8" s="176">
        <f t="shared" si="1"/>
        <v>3813455.5440482497</v>
      </c>
      <c r="AB8" s="177">
        <f>AB6-AB7</f>
        <v>3911912.6986850118</v>
      </c>
    </row>
    <row r="9" spans="1:28" x14ac:dyDescent="0.35">
      <c r="A9" s="114" t="s">
        <v>114</v>
      </c>
      <c r="B9" s="208" t="s">
        <v>23</v>
      </c>
      <c r="C9" s="209">
        <f>C8*'01_Assumptions'!$B$22</f>
        <v>0</v>
      </c>
      <c r="D9" s="209">
        <f>D8*'01_Assumptions'!$B$22</f>
        <v>467636.4691999997</v>
      </c>
      <c r="E9" s="209">
        <f>E8*'01_Assumptions'!$B$22</f>
        <v>485838.70259107975</v>
      </c>
      <c r="F9" s="209">
        <f>F8*'01_Assumptions'!$B$22</f>
        <v>504283.5382596869</v>
      </c>
      <c r="G9" s="209">
        <f>G8*'01_Assumptions'!$B$22</f>
        <v>522974.01875975612</v>
      </c>
      <c r="H9" s="209">
        <f>H8*'01_Assumptions'!$B$22</f>
        <v>541913.22053487645</v>
      </c>
      <c r="I9" s="209">
        <f>I8*'01_Assumptions'!$B$22</f>
        <v>561104.25419435813</v>
      </c>
      <c r="J9" s="209">
        <f>J8*'01_Assumptions'!$B$22</f>
        <v>580550.26478883578</v>
      </c>
      <c r="K9" s="209">
        <f>K8*'01_Assumptions'!$B$22</f>
        <v>600254.43208531151</v>
      </c>
      <c r="L9" s="209">
        <f>L8*'01_Assumptions'!$B$22</f>
        <v>620219.97084152675</v>
      </c>
      <c r="M9" s="209">
        <f>M8*'01_Assumptions'!$B$22</f>
        <v>640450.13107957272</v>
      </c>
      <c r="N9" s="209">
        <f>N8*'01_Assumptions'!$B$22</f>
        <v>660948.19835861563</v>
      </c>
      <c r="O9" s="209">
        <f>O8*'01_Assumptions'!$B$22</f>
        <v>681717.49404663569</v>
      </c>
      <c r="P9" s="209">
        <f>P8*'01_Assumptions'!$B$22</f>
        <v>702761.37559105642</v>
      </c>
      <c r="Q9" s="209">
        <f>Q8*'01_Assumptions'!$B$22</f>
        <v>724083.23678815225</v>
      </c>
      <c r="R9" s="209">
        <f>R8*'01_Assumptions'!$B$22</f>
        <v>745686.50805110019</v>
      </c>
      <c r="S9" s="209">
        <f>S8*'01_Assumptions'!$B$22</f>
        <v>767574.6566765618</v>
      </c>
      <c r="T9" s="209">
        <f>T8*'01_Assumptions'!$B$22</f>
        <v>789751.18710965291</v>
      </c>
      <c r="U9" s="209">
        <f>U8*'01_Assumptions'!$B$22</f>
        <v>812219.64120716974</v>
      </c>
      <c r="V9" s="209">
        <f>V8*'01_Assumptions'!$B$22</f>
        <v>834983.59849893069</v>
      </c>
      <c r="W9" s="209">
        <f>W8*'01_Assumptions'!$B$22</f>
        <v>858046.67644709442</v>
      </c>
      <c r="X9" s="209">
        <f>X8*'01_Assumptions'!$B$22</f>
        <v>881412.53070329688</v>
      </c>
      <c r="Y9" s="209">
        <f>Y8*'01_Assumptions'!$B$22</f>
        <v>905084.85536345886</v>
      </c>
      <c r="Z9" s="209">
        <f>Z8*'01_Assumptions'!$B$22</f>
        <v>929067.38322011149</v>
      </c>
      <c r="AA9" s="209">
        <f>AA8*'01_Assumptions'!$B$22</f>
        <v>953363.88601206243</v>
      </c>
      <c r="AB9" s="210">
        <f>AB8*'01_Assumptions'!$B$22</f>
        <v>977978.17467125296</v>
      </c>
    </row>
    <row r="10" spans="1:28" x14ac:dyDescent="0.35">
      <c r="A10" s="112" t="s">
        <v>117</v>
      </c>
      <c r="B10" s="207" t="s">
        <v>23</v>
      </c>
      <c r="C10" s="176">
        <f>C8-C9</f>
        <v>0</v>
      </c>
      <c r="D10" s="176">
        <f>D8-D9</f>
        <v>1402909.4075999991</v>
      </c>
      <c r="E10" s="176">
        <f t="shared" ref="E10:AA10" si="2">E8-E9</f>
        <v>1457516.1077732393</v>
      </c>
      <c r="F10" s="176">
        <f t="shared" si="2"/>
        <v>1512850.6147790607</v>
      </c>
      <c r="G10" s="176">
        <f t="shared" si="2"/>
        <v>1568922.0562792683</v>
      </c>
      <c r="H10" s="176">
        <f t="shared" si="2"/>
        <v>1625739.6616046294</v>
      </c>
      <c r="I10" s="176">
        <f t="shared" si="2"/>
        <v>1683312.7625830744</v>
      </c>
      <c r="J10" s="176">
        <f t="shared" si="2"/>
        <v>1741650.7943665073</v>
      </c>
      <c r="K10" s="176">
        <f t="shared" si="2"/>
        <v>1800763.2962559345</v>
      </c>
      <c r="L10" s="176">
        <f t="shared" si="2"/>
        <v>1860659.9125245803</v>
      </c>
      <c r="M10" s="176">
        <f t="shared" si="2"/>
        <v>1921350.3932387182</v>
      </c>
      <c r="N10" s="176">
        <f t="shared" si="2"/>
        <v>1982844.5950758469</v>
      </c>
      <c r="O10" s="176">
        <f t="shared" si="2"/>
        <v>2045152.4821399071</v>
      </c>
      <c r="P10" s="176">
        <f t="shared" si="2"/>
        <v>2108284.1267731693</v>
      </c>
      <c r="Q10" s="176">
        <f t="shared" si="2"/>
        <v>2172249.7103644568</v>
      </c>
      <c r="R10" s="176">
        <f t="shared" si="2"/>
        <v>2237059.5241533006</v>
      </c>
      <c r="S10" s="176">
        <f t="shared" si="2"/>
        <v>2302723.9700296856</v>
      </c>
      <c r="T10" s="176">
        <f t="shared" si="2"/>
        <v>2369253.5613289587</v>
      </c>
      <c r="U10" s="176">
        <f t="shared" si="2"/>
        <v>2436658.9236215092</v>
      </c>
      <c r="V10" s="176">
        <f t="shared" si="2"/>
        <v>2504950.7954967921</v>
      </c>
      <c r="W10" s="176">
        <f t="shared" si="2"/>
        <v>2574140.0293412833</v>
      </c>
      <c r="X10" s="176">
        <f t="shared" si="2"/>
        <v>2644237.5921098907</v>
      </c>
      <c r="Y10" s="176">
        <f t="shared" si="2"/>
        <v>2715254.5660903766</v>
      </c>
      <c r="Z10" s="176">
        <f t="shared" si="2"/>
        <v>2787202.1496603345</v>
      </c>
      <c r="AA10" s="176">
        <f t="shared" si="2"/>
        <v>2860091.6580361873</v>
      </c>
      <c r="AB10" s="177">
        <f>AB8-AB9</f>
        <v>2933934.5240137586</v>
      </c>
    </row>
    <row r="11" spans="1:28" x14ac:dyDescent="0.35">
      <c r="A11" s="114" t="s">
        <v>236</v>
      </c>
      <c r="B11" s="208" t="s">
        <v>23</v>
      </c>
      <c r="C11" s="178">
        <f>C7</f>
        <v>0</v>
      </c>
      <c r="D11" s="178">
        <f t="shared" ref="D11:AB11" si="3">D7</f>
        <v>3400000</v>
      </c>
      <c r="E11" s="178">
        <f t="shared" si="3"/>
        <v>3400000</v>
      </c>
      <c r="F11" s="178">
        <f t="shared" si="3"/>
        <v>3400000</v>
      </c>
      <c r="G11" s="178">
        <f t="shared" si="3"/>
        <v>3400000</v>
      </c>
      <c r="H11" s="178">
        <f t="shared" si="3"/>
        <v>3400000</v>
      </c>
      <c r="I11" s="178">
        <f t="shared" si="3"/>
        <v>3400000</v>
      </c>
      <c r="J11" s="178">
        <f t="shared" si="3"/>
        <v>3400000</v>
      </c>
      <c r="K11" s="178">
        <f t="shared" si="3"/>
        <v>3400000</v>
      </c>
      <c r="L11" s="178">
        <f t="shared" si="3"/>
        <v>3400000</v>
      </c>
      <c r="M11" s="178">
        <f t="shared" si="3"/>
        <v>3400000</v>
      </c>
      <c r="N11" s="178">
        <f t="shared" si="3"/>
        <v>3400000</v>
      </c>
      <c r="O11" s="178">
        <f t="shared" si="3"/>
        <v>3400000</v>
      </c>
      <c r="P11" s="178">
        <f t="shared" si="3"/>
        <v>3400000</v>
      </c>
      <c r="Q11" s="178">
        <f t="shared" si="3"/>
        <v>3400000</v>
      </c>
      <c r="R11" s="178">
        <f t="shared" si="3"/>
        <v>3400000</v>
      </c>
      <c r="S11" s="178">
        <f t="shared" si="3"/>
        <v>3400000</v>
      </c>
      <c r="T11" s="178">
        <f t="shared" si="3"/>
        <v>3400000</v>
      </c>
      <c r="U11" s="178">
        <f t="shared" si="3"/>
        <v>3400000</v>
      </c>
      <c r="V11" s="178">
        <f t="shared" si="3"/>
        <v>3400000</v>
      </c>
      <c r="W11" s="178">
        <f t="shared" si="3"/>
        <v>3400000</v>
      </c>
      <c r="X11" s="178">
        <f t="shared" si="3"/>
        <v>3400000</v>
      </c>
      <c r="Y11" s="178">
        <f t="shared" si="3"/>
        <v>3400000</v>
      </c>
      <c r="Z11" s="178">
        <f t="shared" si="3"/>
        <v>3400000</v>
      </c>
      <c r="AA11" s="178">
        <f t="shared" si="3"/>
        <v>3400000</v>
      </c>
      <c r="AB11" s="179">
        <f t="shared" si="3"/>
        <v>3400000</v>
      </c>
    </row>
    <row r="12" spans="1:28" x14ac:dyDescent="0.35">
      <c r="A12" s="112" t="s">
        <v>237</v>
      </c>
      <c r="B12" s="207" t="s">
        <v>23</v>
      </c>
      <c r="C12" s="176">
        <f>'01_Assumptions'!B11*10^6</f>
        <v>85000000</v>
      </c>
      <c r="D12" s="176">
        <v>0</v>
      </c>
      <c r="E12" s="176">
        <v>0</v>
      </c>
      <c r="F12" s="176">
        <v>0</v>
      </c>
      <c r="G12" s="176">
        <v>0</v>
      </c>
      <c r="H12" s="176">
        <v>0</v>
      </c>
      <c r="I12" s="176">
        <v>0</v>
      </c>
      <c r="J12" s="176">
        <v>0</v>
      </c>
      <c r="K12" s="176">
        <v>0</v>
      </c>
      <c r="L12" s="176">
        <v>0</v>
      </c>
      <c r="M12" s="176">
        <v>0</v>
      </c>
      <c r="N12" s="176">
        <v>0</v>
      </c>
      <c r="O12" s="176">
        <v>0</v>
      </c>
      <c r="P12" s="176">
        <v>0</v>
      </c>
      <c r="Q12" s="176">
        <v>0</v>
      </c>
      <c r="R12" s="176">
        <v>0</v>
      </c>
      <c r="S12" s="176">
        <v>0</v>
      </c>
      <c r="T12" s="176">
        <v>0</v>
      </c>
      <c r="U12" s="176">
        <v>0</v>
      </c>
      <c r="V12" s="176">
        <v>0</v>
      </c>
      <c r="W12" s="176">
        <v>0</v>
      </c>
      <c r="X12" s="176">
        <v>0</v>
      </c>
      <c r="Y12" s="176">
        <v>0</v>
      </c>
      <c r="Z12" s="176">
        <v>0</v>
      </c>
      <c r="AA12" s="176">
        <v>0</v>
      </c>
      <c r="AB12" s="177">
        <v>0</v>
      </c>
    </row>
    <row r="13" spans="1:28" x14ac:dyDescent="0.35">
      <c r="A13" s="211" t="s">
        <v>118</v>
      </c>
      <c r="B13" s="212" t="s">
        <v>23</v>
      </c>
      <c r="C13" s="213">
        <f>C10+C11-C12</f>
        <v>-85000000</v>
      </c>
      <c r="D13" s="213">
        <f>D10+D11-D12</f>
        <v>4802909.4075999986</v>
      </c>
      <c r="E13" s="213">
        <f t="shared" ref="E13:AB13" si="4">E10+E11-E12</f>
        <v>4857516.1077732388</v>
      </c>
      <c r="F13" s="213">
        <f t="shared" si="4"/>
        <v>4912850.6147790607</v>
      </c>
      <c r="G13" s="213">
        <f t="shared" si="4"/>
        <v>4968922.0562792681</v>
      </c>
      <c r="H13" s="213">
        <f t="shared" si="4"/>
        <v>5025739.6616046298</v>
      </c>
      <c r="I13" s="213">
        <f t="shared" si="4"/>
        <v>5083312.7625830742</v>
      </c>
      <c r="J13" s="213">
        <f t="shared" si="4"/>
        <v>5141650.7943665069</v>
      </c>
      <c r="K13" s="213">
        <f t="shared" si="4"/>
        <v>5200763.296255935</v>
      </c>
      <c r="L13" s="213">
        <f t="shared" si="4"/>
        <v>5260659.91252458</v>
      </c>
      <c r="M13" s="213">
        <f t="shared" si="4"/>
        <v>5321350.3932387177</v>
      </c>
      <c r="N13" s="213">
        <f t="shared" si="4"/>
        <v>5382844.5950758466</v>
      </c>
      <c r="O13" s="213">
        <f t="shared" si="4"/>
        <v>5445152.4821399068</v>
      </c>
      <c r="P13" s="213">
        <f t="shared" si="4"/>
        <v>5508284.1267731693</v>
      </c>
      <c r="Q13" s="213">
        <f t="shared" si="4"/>
        <v>5572249.7103644572</v>
      </c>
      <c r="R13" s="213">
        <f t="shared" si="4"/>
        <v>5637059.5241533006</v>
      </c>
      <c r="S13" s="213">
        <f t="shared" si="4"/>
        <v>5702723.9700296856</v>
      </c>
      <c r="T13" s="213">
        <f t="shared" si="4"/>
        <v>5769253.5613289587</v>
      </c>
      <c r="U13" s="213">
        <f t="shared" si="4"/>
        <v>5836658.9236215092</v>
      </c>
      <c r="V13" s="213">
        <f t="shared" si="4"/>
        <v>5904950.7954967916</v>
      </c>
      <c r="W13" s="213">
        <f t="shared" si="4"/>
        <v>5974140.0293412833</v>
      </c>
      <c r="X13" s="213">
        <f t="shared" si="4"/>
        <v>6044237.5921098907</v>
      </c>
      <c r="Y13" s="213">
        <f t="shared" si="4"/>
        <v>6115254.566090377</v>
      </c>
      <c r="Z13" s="213">
        <f t="shared" si="4"/>
        <v>6187202.149660334</v>
      </c>
      <c r="AA13" s="213">
        <f t="shared" si="4"/>
        <v>6260091.6580361873</v>
      </c>
      <c r="AB13" s="214">
        <f t="shared" si="4"/>
        <v>6333934.5240137586</v>
      </c>
    </row>
    <row r="16" spans="1:28" ht="16" x14ac:dyDescent="0.4">
      <c r="E16" s="289" t="s">
        <v>224</v>
      </c>
      <c r="F16" s="289"/>
      <c r="G16" s="289"/>
      <c r="H16" s="289"/>
      <c r="I16" s="289"/>
      <c r="J16" s="289"/>
    </row>
    <row r="18" spans="1:1" x14ac:dyDescent="0.35">
      <c r="A18" s="201" t="s">
        <v>116</v>
      </c>
    </row>
    <row r="19" spans="1:1" ht="58" x14ac:dyDescent="0.35">
      <c r="A19" s="167" t="s">
        <v>231</v>
      </c>
    </row>
    <row r="20" spans="1:1" ht="72.5" x14ac:dyDescent="0.35">
      <c r="A20" s="167" t="s">
        <v>232</v>
      </c>
    </row>
    <row r="21" spans="1:1" ht="58" x14ac:dyDescent="0.35">
      <c r="A21" s="167" t="s">
        <v>233</v>
      </c>
    </row>
    <row r="22" spans="1:1" ht="58" x14ac:dyDescent="0.35">
      <c r="A22" s="167" t="s">
        <v>234</v>
      </c>
    </row>
    <row r="23" spans="1:1" ht="87" x14ac:dyDescent="0.35">
      <c r="A23" s="167" t="s">
        <v>235</v>
      </c>
    </row>
    <row r="25" spans="1:1" ht="76.5" customHeight="1" x14ac:dyDescent="0.35"/>
    <row r="26" spans="1:1" x14ac:dyDescent="0.35">
      <c r="A26" s="167"/>
    </row>
    <row r="27" spans="1:1" x14ac:dyDescent="0.35">
      <c r="A27" s="3"/>
    </row>
    <row r="28" spans="1:1" x14ac:dyDescent="0.35">
      <c r="A28" s="202"/>
    </row>
    <row r="30" spans="1:1" ht="58" x14ac:dyDescent="0.35">
      <c r="A30" s="43" t="s">
        <v>115</v>
      </c>
    </row>
  </sheetData>
  <mergeCells count="2">
    <mergeCell ref="A1:G1"/>
    <mergeCell ref="E16:J16"/>
  </mergeCells>
  <pageMargins left="0.7" right="0.7" top="0.75" bottom="0.75" header="0.3" footer="0.3"/>
  <ignoredErrors>
    <ignoredError sqref="C7:U7 V7:AA7 R9:AB9 G9:Q9 B9:F9" formula="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C2706-C395-4B2F-A5AF-90C1AA936AEC}">
  <dimension ref="A1:AB20"/>
  <sheetViews>
    <sheetView showGridLines="0" workbookViewId="0">
      <selection activeCell="D12" sqref="D12:I12"/>
    </sheetView>
  </sheetViews>
  <sheetFormatPr defaultRowHeight="14.5" x14ac:dyDescent="0.35"/>
  <cols>
    <col min="1" max="1" width="31.7265625" style="1" customWidth="1"/>
    <col min="2" max="2" width="10.453125" style="1" customWidth="1"/>
    <col min="3" max="28" width="12.7265625" style="1" customWidth="1"/>
    <col min="29" max="16384" width="8.7265625" style="1"/>
  </cols>
  <sheetData>
    <row r="1" spans="1:28" ht="18.5" x14ac:dyDescent="0.45">
      <c r="A1" s="287" t="s">
        <v>239</v>
      </c>
      <c r="B1" s="287"/>
      <c r="C1" s="287"/>
      <c r="D1" s="287"/>
      <c r="E1" s="287"/>
      <c r="F1" s="287"/>
      <c r="G1" s="287"/>
    </row>
    <row r="3" spans="1:28" s="174" customFormat="1" ht="16" x14ac:dyDescent="0.4">
      <c r="A3" s="203" t="s">
        <v>4</v>
      </c>
      <c r="B3" s="204" t="s">
        <v>6</v>
      </c>
      <c r="C3" s="204" t="s">
        <v>80</v>
      </c>
      <c r="D3" s="204" t="s">
        <v>55</v>
      </c>
      <c r="E3" s="204" t="s">
        <v>56</v>
      </c>
      <c r="F3" s="204" t="s">
        <v>57</v>
      </c>
      <c r="G3" s="205" t="s">
        <v>58</v>
      </c>
      <c r="H3" s="205" t="s">
        <v>59</v>
      </c>
      <c r="I3" s="205" t="s">
        <v>60</v>
      </c>
      <c r="J3" s="205" t="s">
        <v>61</v>
      </c>
      <c r="K3" s="205" t="s">
        <v>62</v>
      </c>
      <c r="L3" s="205" t="s">
        <v>63</v>
      </c>
      <c r="M3" s="205" t="s">
        <v>64</v>
      </c>
      <c r="N3" s="205" t="s">
        <v>65</v>
      </c>
      <c r="O3" s="205" t="s">
        <v>66</v>
      </c>
      <c r="P3" s="205" t="s">
        <v>67</v>
      </c>
      <c r="Q3" s="205" t="s">
        <v>68</v>
      </c>
      <c r="R3" s="205" t="s">
        <v>69</v>
      </c>
      <c r="S3" s="205" t="s">
        <v>70</v>
      </c>
      <c r="T3" s="205" t="s">
        <v>71</v>
      </c>
      <c r="U3" s="205" t="s">
        <v>72</v>
      </c>
      <c r="V3" s="205" t="s">
        <v>73</v>
      </c>
      <c r="W3" s="205" t="s">
        <v>74</v>
      </c>
      <c r="X3" s="205" t="s">
        <v>75</v>
      </c>
      <c r="Y3" s="205" t="s">
        <v>76</v>
      </c>
      <c r="Z3" s="205" t="s">
        <v>77</v>
      </c>
      <c r="AA3" s="205" t="s">
        <v>78</v>
      </c>
      <c r="AB3" s="206" t="s">
        <v>79</v>
      </c>
    </row>
    <row r="4" spans="1:28" x14ac:dyDescent="0.35">
      <c r="A4" s="112" t="s">
        <v>133</v>
      </c>
      <c r="B4" s="207" t="s">
        <v>23</v>
      </c>
      <c r="C4" s="181">
        <f>'07_Cash_Flow'!C13</f>
        <v>-85000000</v>
      </c>
      <c r="D4" s="181">
        <f>'07_Cash_Flow'!D13</f>
        <v>4802909.4075999986</v>
      </c>
      <c r="E4" s="181">
        <f>'07_Cash_Flow'!E13</f>
        <v>4857516.1077732388</v>
      </c>
      <c r="F4" s="181">
        <f>'07_Cash_Flow'!F13</f>
        <v>4912850.6147790607</v>
      </c>
      <c r="G4" s="181">
        <f>'07_Cash_Flow'!G13</f>
        <v>4968922.0562792681</v>
      </c>
      <c r="H4" s="181">
        <f>'07_Cash_Flow'!H13</f>
        <v>5025739.6616046298</v>
      </c>
      <c r="I4" s="181">
        <f>'07_Cash_Flow'!I13</f>
        <v>5083312.7625830742</v>
      </c>
      <c r="J4" s="181">
        <f>'07_Cash_Flow'!J13</f>
        <v>5141650.7943665069</v>
      </c>
      <c r="K4" s="181">
        <f>'07_Cash_Flow'!K13</f>
        <v>5200763.296255935</v>
      </c>
      <c r="L4" s="181">
        <f>'07_Cash_Flow'!L13</f>
        <v>5260659.91252458</v>
      </c>
      <c r="M4" s="181">
        <f>'07_Cash_Flow'!M13</f>
        <v>5321350.3932387177</v>
      </c>
      <c r="N4" s="181">
        <f>'07_Cash_Flow'!N13</f>
        <v>5382844.5950758466</v>
      </c>
      <c r="O4" s="181">
        <f>'07_Cash_Flow'!O13</f>
        <v>5445152.4821399068</v>
      </c>
      <c r="P4" s="181">
        <f>'07_Cash_Flow'!P13</f>
        <v>5508284.1267731693</v>
      </c>
      <c r="Q4" s="181">
        <f>'07_Cash_Flow'!Q13</f>
        <v>5572249.7103644572</v>
      </c>
      <c r="R4" s="181">
        <f>'07_Cash_Flow'!R13</f>
        <v>5637059.5241533006</v>
      </c>
      <c r="S4" s="181">
        <f>'07_Cash_Flow'!S13</f>
        <v>5702723.9700296856</v>
      </c>
      <c r="T4" s="181">
        <f>'07_Cash_Flow'!T13</f>
        <v>5769253.5613289587</v>
      </c>
      <c r="U4" s="181">
        <f>'07_Cash_Flow'!U13</f>
        <v>5836658.9236215092</v>
      </c>
      <c r="V4" s="181">
        <f>'07_Cash_Flow'!V13</f>
        <v>5904950.7954967916</v>
      </c>
      <c r="W4" s="181">
        <f>'07_Cash_Flow'!W13</f>
        <v>5974140.0293412833</v>
      </c>
      <c r="X4" s="181">
        <f>'07_Cash_Flow'!X13</f>
        <v>6044237.5921098907</v>
      </c>
      <c r="Y4" s="181">
        <f>'07_Cash_Flow'!Y13</f>
        <v>6115254.566090377</v>
      </c>
      <c r="Z4" s="181">
        <f>'07_Cash_Flow'!Z13</f>
        <v>6187202.149660334</v>
      </c>
      <c r="AA4" s="181">
        <f>'07_Cash_Flow'!AA13</f>
        <v>6260091.6580361873</v>
      </c>
      <c r="AB4" s="182">
        <f>'07_Cash_Flow'!AB13</f>
        <v>6333934.5240137586</v>
      </c>
    </row>
    <row r="5" spans="1:28" x14ac:dyDescent="0.35">
      <c r="A5" s="114" t="s">
        <v>132</v>
      </c>
      <c r="B5" s="208" t="s">
        <v>23</v>
      </c>
      <c r="C5" s="190">
        <f>C4</f>
        <v>-85000000</v>
      </c>
      <c r="D5" s="178">
        <f>Table10[[#This Row],[Year 0]]+D4</f>
        <v>-80197090.592399999</v>
      </c>
      <c r="E5" s="178">
        <f>Table10[[#This Row],[Year 1]]+E4</f>
        <v>-75339574.484626755</v>
      </c>
      <c r="F5" s="178">
        <f>Table10[[#This Row],[Year 2]]+F4</f>
        <v>-70426723.8698477</v>
      </c>
      <c r="G5" s="178">
        <f>Table10[[#This Row],[Year 3]]+G4</f>
        <v>-65457801.813568428</v>
      </c>
      <c r="H5" s="178">
        <f>Table10[[#This Row],[Year 4]]+H4</f>
        <v>-60432062.1519638</v>
      </c>
      <c r="I5" s="178">
        <f>Table10[[#This Row],[Year 5]]+I4</f>
        <v>-55348749.389380723</v>
      </c>
      <c r="J5" s="178">
        <f>Table10[[#This Row],[Year 6]]+J4</f>
        <v>-50207098.595014215</v>
      </c>
      <c r="K5" s="178">
        <f>Table10[[#This Row],[Year 7]]+K4</f>
        <v>-45006335.298758283</v>
      </c>
      <c r="L5" s="178">
        <f>Table10[[#This Row],[Year 8]]+L4</f>
        <v>-39745675.386233702</v>
      </c>
      <c r="M5" s="178">
        <f>Table10[[#This Row],[Year 9]]+M4</f>
        <v>-34424324.992994986</v>
      </c>
      <c r="N5" s="178">
        <f>Table10[[#This Row],[Year 10]]+N4</f>
        <v>-29041480.397919141</v>
      </c>
      <c r="O5" s="178">
        <f>Table10[[#This Row],[Year 11]]+O4</f>
        <v>-23596327.915779233</v>
      </c>
      <c r="P5" s="178">
        <f>Table10[[#This Row],[Year 12]]+P4</f>
        <v>-18088043.789006062</v>
      </c>
      <c r="Q5" s="178">
        <f>Table10[[#This Row],[Year 13]]+Q4</f>
        <v>-12515794.078641605</v>
      </c>
      <c r="R5" s="178">
        <f>Table10[[#This Row],[Year 14]]+R4</f>
        <v>-6878734.5544883041</v>
      </c>
      <c r="S5" s="178">
        <f>Table10[[#This Row],[Year 15]]+S4</f>
        <v>-1176010.5844586184</v>
      </c>
      <c r="T5" s="178">
        <f>Table10[[#This Row],[Year 16]]+T4</f>
        <v>4593242.9768703403</v>
      </c>
      <c r="U5" s="178">
        <f>Table10[[#This Row],[Year 17]]+U4</f>
        <v>10429901.900491849</v>
      </c>
      <c r="V5" s="178">
        <f>Table10[[#This Row],[Year 18]]+V4</f>
        <v>16334852.69598864</v>
      </c>
      <c r="W5" s="178">
        <f>Table10[[#This Row],[Year 19]]+W4</f>
        <v>22308992.725329924</v>
      </c>
      <c r="X5" s="178">
        <f>Table10[[#This Row],[Year 20]]+X4</f>
        <v>28353230.317439817</v>
      </c>
      <c r="Y5" s="178">
        <f>Table10[[#This Row],[Year 21]]+Y4</f>
        <v>34468484.883530192</v>
      </c>
      <c r="Z5" s="178">
        <f>Table10[[#This Row],[Year 22]]+Z4</f>
        <v>40655687.033190526</v>
      </c>
      <c r="AA5" s="178">
        <f>Table10[[#This Row],[Year 23]]+AA4</f>
        <v>46915778.691226713</v>
      </c>
      <c r="AB5" s="179">
        <f>Table10[[#This Row],[Year 24]]+AB4</f>
        <v>53249713.215240471</v>
      </c>
    </row>
    <row r="6" spans="1:28" x14ac:dyDescent="0.35">
      <c r="A6" s="112" t="s">
        <v>119</v>
      </c>
      <c r="B6" s="207" t="s">
        <v>15</v>
      </c>
      <c r="C6" s="217">
        <v>0</v>
      </c>
      <c r="D6" s="218">
        <f>'01_Assumptions'!$B$29</f>
        <v>3.2656249999999998E-2</v>
      </c>
      <c r="E6" s="218">
        <f>'01_Assumptions'!$B$29</f>
        <v>3.2656249999999998E-2</v>
      </c>
      <c r="F6" s="218">
        <f>'01_Assumptions'!$B$29</f>
        <v>3.2656249999999998E-2</v>
      </c>
      <c r="G6" s="218">
        <f>'01_Assumptions'!$B$29</f>
        <v>3.2656249999999998E-2</v>
      </c>
      <c r="H6" s="218">
        <f>'01_Assumptions'!$B$29</f>
        <v>3.2656249999999998E-2</v>
      </c>
      <c r="I6" s="218">
        <f>'01_Assumptions'!$B$29</f>
        <v>3.2656249999999998E-2</v>
      </c>
      <c r="J6" s="218">
        <f>'01_Assumptions'!$B$29</f>
        <v>3.2656249999999998E-2</v>
      </c>
      <c r="K6" s="218">
        <f>'01_Assumptions'!$B$29</f>
        <v>3.2656249999999998E-2</v>
      </c>
      <c r="L6" s="218">
        <f>'01_Assumptions'!$B$29</f>
        <v>3.2656249999999998E-2</v>
      </c>
      <c r="M6" s="218">
        <f>'01_Assumptions'!$B$29</f>
        <v>3.2656249999999998E-2</v>
      </c>
      <c r="N6" s="218">
        <f>'01_Assumptions'!$B$29</f>
        <v>3.2656249999999998E-2</v>
      </c>
      <c r="O6" s="218">
        <f>'01_Assumptions'!$B$29</f>
        <v>3.2656249999999998E-2</v>
      </c>
      <c r="P6" s="218">
        <f>'01_Assumptions'!$B$29</f>
        <v>3.2656249999999998E-2</v>
      </c>
      <c r="Q6" s="218">
        <f>'01_Assumptions'!$B$29</f>
        <v>3.2656249999999998E-2</v>
      </c>
      <c r="R6" s="218">
        <f>'01_Assumptions'!$B$29</f>
        <v>3.2656249999999998E-2</v>
      </c>
      <c r="S6" s="218">
        <f>'01_Assumptions'!$B$29</f>
        <v>3.2656249999999998E-2</v>
      </c>
      <c r="T6" s="218">
        <f>'01_Assumptions'!$B$29</f>
        <v>3.2656249999999998E-2</v>
      </c>
      <c r="U6" s="218">
        <f>'01_Assumptions'!$B$29</f>
        <v>3.2656249999999998E-2</v>
      </c>
      <c r="V6" s="218">
        <f>'01_Assumptions'!$B$29</f>
        <v>3.2656249999999998E-2</v>
      </c>
      <c r="W6" s="218">
        <f>'01_Assumptions'!$B$29</f>
        <v>3.2656249999999998E-2</v>
      </c>
      <c r="X6" s="218">
        <f>'01_Assumptions'!$B$29</f>
        <v>3.2656249999999998E-2</v>
      </c>
      <c r="Y6" s="218">
        <f>'01_Assumptions'!$B$29</f>
        <v>3.2656249999999998E-2</v>
      </c>
      <c r="Z6" s="218">
        <f>'01_Assumptions'!$B$29</f>
        <v>3.2656249999999998E-2</v>
      </c>
      <c r="AA6" s="218">
        <f>'01_Assumptions'!$B$29</f>
        <v>3.2656249999999998E-2</v>
      </c>
      <c r="AB6" s="219">
        <f>'01_Assumptions'!$B$29</f>
        <v>3.2656249999999998E-2</v>
      </c>
    </row>
    <row r="7" spans="1:28" x14ac:dyDescent="0.35">
      <c r="A7" s="114" t="s">
        <v>120</v>
      </c>
      <c r="B7" s="208" t="s">
        <v>121</v>
      </c>
      <c r="C7" s="220">
        <f>1/(1+C6)</f>
        <v>1</v>
      </c>
      <c r="D7" s="119">
        <f>Table10[[#This Row],[Year 0]]/(1+D6)</f>
        <v>0.96837645634740499</v>
      </c>
      <c r="E7" s="119">
        <f>Table10[[#This Row],[Year 1]]/(1+E6)</f>
        <v>0.93775296120795759</v>
      </c>
      <c r="F7" s="119">
        <f>Table10[[#This Row],[Year 2]]/(1+F6)</f>
        <v>0.90809788950384751</v>
      </c>
      <c r="G7" s="119">
        <f>Table10[[#This Row],[Year 3]]/(1+G6)</f>
        <v>0.8793806162542932</v>
      </c>
      <c r="H7" s="119">
        <f>Table10[[#This Row],[Year 4]]/(1+H6)</f>
        <v>0.85157148494892965</v>
      </c>
      <c r="I7" s="119">
        <f>Table10[[#This Row],[Year 5]]/(1+I6)</f>
        <v>0.824641776921342</v>
      </c>
      <c r="J7" s="119">
        <f>Table10[[#This Row],[Year 6]]/(1+J6)</f>
        <v>0.79856368169111647</v>
      </c>
      <c r="K7" s="119">
        <f>Table10[[#This Row],[Year 7]]/(1+K6)</f>
        <v>0.77331026824378046</v>
      </c>
      <c r="L7" s="119">
        <f>Table10[[#This Row],[Year 8]]/(1+L6)</f>
        <v>0.74885545721897329</v>
      </c>
      <c r="M7" s="119">
        <f>Table10[[#This Row],[Year 9]]/(1+M6)</f>
        <v>0.7251739939781251</v>
      </c>
      <c r="N7" s="119">
        <f>Table10[[#This Row],[Year 10]]/(1+N6)</f>
        <v>0.70224142252383115</v>
      </c>
      <c r="O7" s="119">
        <f>Table10[[#This Row],[Year 11]]/(1+O6)</f>
        <v>0.68003406024398838</v>
      </c>
      <c r="P7" s="119">
        <f>Table10[[#This Row],[Year 12]]/(1+P6)</f>
        <v>0.65852897345461114</v>
      </c>
      <c r="Q7" s="119">
        <f>Table10[[#This Row],[Year 13]]/(1+Q6)</f>
        <v>0.63770395371607069</v>
      </c>
      <c r="R7" s="119">
        <f>Table10[[#This Row],[Year 14]]/(1+R6)</f>
        <v>0.61753749489829812</v>
      </c>
      <c r="S7" s="119">
        <f>Table10[[#This Row],[Year 15]]/(1+S6)</f>
        <v>0.59800877097126759</v>
      </c>
      <c r="T7" s="119">
        <f>Table10[[#This Row],[Year 16]]/(1+T6)</f>
        <v>0.57909761449782304</v>
      </c>
      <c r="U7" s="119">
        <f>Table10[[#This Row],[Year 17]]/(1+U6)</f>
        <v>0.56078449580663747</v>
      </c>
      <c r="V7" s="119">
        <f>Table10[[#This Row],[Year 18]]/(1+V6)</f>
        <v>0.54305050282379774</v>
      </c>
      <c r="W7" s="119">
        <f>Table10[[#This Row],[Year 19]]/(1+W6)</f>
        <v>0.52587732154218569</v>
      </c>
      <c r="X7" s="119">
        <f>Table10[[#This Row],[Year 20]]/(1+X6)</f>
        <v>0.50924721710848664</v>
      </c>
      <c r="Y7" s="119">
        <f>Table10[[#This Row],[Year 21]]/(1+Y6)</f>
        <v>0.49314301550829387</v>
      </c>
      <c r="Z7" s="119">
        <f>Table10[[#This Row],[Year 22]]/(1+Z6)</f>
        <v>0.47754808583039499</v>
      </c>
      <c r="AA7" s="119">
        <f>Table10[[#This Row],[Year 23]]/(1+AA6)</f>
        <v>0.46244632309192429</v>
      </c>
      <c r="AB7" s="103">
        <f>Table10[[#This Row],[Year 24]]/(1+AB6)</f>
        <v>0.4478221316066448</v>
      </c>
    </row>
    <row r="8" spans="1:28" s="224" customFormat="1" ht="29" x14ac:dyDescent="0.35">
      <c r="A8" s="221" t="s">
        <v>123</v>
      </c>
      <c r="B8" s="207" t="s">
        <v>23</v>
      </c>
      <c r="C8" s="222">
        <f>C4*C7</f>
        <v>-85000000</v>
      </c>
      <c r="D8" s="222">
        <f>D4*D7</f>
        <v>4651024.3922893004</v>
      </c>
      <c r="E8" s="222">
        <f>E4*E7</f>
        <v>4555150.1141797071</v>
      </c>
      <c r="F8" s="222">
        <f t="shared" ref="F8:AB8" si="0">F4*F7</f>
        <v>4461349.274728545</v>
      </c>
      <c r="G8" s="222">
        <f>G4*G7</f>
        <v>4369573.7399704121</v>
      </c>
      <c r="H8" s="222">
        <f t="shared" si="0"/>
        <v>4279776.5865993854</v>
      </c>
      <c r="I8" s="222">
        <f t="shared" si="0"/>
        <v>4191912.0691834423</v>
      </c>
      <c r="J8" s="222">
        <f t="shared" si="0"/>
        <v>4105935.5883193715</v>
      </c>
      <c r="K8" s="222">
        <f t="shared" si="0"/>
        <v>4021803.6597000849</v>
      </c>
      <c r="L8" s="222">
        <f t="shared" si="0"/>
        <v>3939473.8840671182</v>
      </c>
      <c r="M8" s="222">
        <f t="shared" si="0"/>
        <v>3858904.9180219877</v>
      </c>
      <c r="N8" s="222">
        <f t="shared" si="0"/>
        <v>3780056.4456707784</v>
      </c>
      <c r="O8" s="222">
        <f t="shared" si="0"/>
        <v>3702889.1510772323</v>
      </c>
      <c r="P8" s="222">
        <f t="shared" si="0"/>
        <v>3627364.6915002642</v>
      </c>
      <c r="Q8" s="222">
        <f t="shared" si="0"/>
        <v>3553445.6713926443</v>
      </c>
      <c r="R8" s="222">
        <f t="shared" si="0"/>
        <v>3481095.6171382219</v>
      </c>
      <c r="S8" s="222">
        <f t="shared" si="0"/>
        <v>3410278.95250584</v>
      </c>
      <c r="T8" s="222">
        <f t="shared" si="0"/>
        <v>3340960.97479867</v>
      </c>
      <c r="U8" s="222">
        <f t="shared" si="0"/>
        <v>3273107.8316783994</v>
      </c>
      <c r="V8" s="222">
        <f t="shared" si="0"/>
        <v>3206686.498644317</v>
      </c>
      <c r="W8" s="222">
        <f t="shared" si="0"/>
        <v>3141664.7571479487</v>
      </c>
      <c r="X8" s="222">
        <f t="shared" si="0"/>
        <v>3078011.173324462</v>
      </c>
      <c r="Y8" s="222">
        <f t="shared" si="0"/>
        <v>3015695.0773226717</v>
      </c>
      <c r="Z8" s="222">
        <f t="shared" si="0"/>
        <v>2954686.5432159975</v>
      </c>
      <c r="AA8" s="222">
        <f t="shared" si="0"/>
        <v>2894956.3694772627</v>
      </c>
      <c r="AB8" s="223">
        <f t="shared" si="0"/>
        <v>2836476.0600007605</v>
      </c>
    </row>
    <row r="9" spans="1:28" x14ac:dyDescent="0.35">
      <c r="A9" s="211" t="s">
        <v>122</v>
      </c>
      <c r="B9" s="212" t="s">
        <v>23</v>
      </c>
      <c r="C9" s="213">
        <f>C8</f>
        <v>-85000000</v>
      </c>
      <c r="D9" s="213">
        <f>Table10[[#This Row],[Year 0]]+D8</f>
        <v>-80348975.607710704</v>
      </c>
      <c r="E9" s="213">
        <f>Table10[[#This Row],[Year 1]]+E8</f>
        <v>-75793825.493531004</v>
      </c>
      <c r="F9" s="213">
        <f>Table10[[#This Row],[Year 2]]+F8</f>
        <v>-71332476.218802452</v>
      </c>
      <c r="G9" s="213">
        <f>Table10[[#This Row],[Year 3]]+G8</f>
        <v>-66962902.478832036</v>
      </c>
      <c r="H9" s="213">
        <f>Table10[[#This Row],[Year 4]]+H8</f>
        <v>-62683125.892232649</v>
      </c>
      <c r="I9" s="213">
        <f>Table10[[#This Row],[Year 5]]+I8</f>
        <v>-58491213.82304921</v>
      </c>
      <c r="J9" s="213">
        <f>Table10[[#This Row],[Year 6]]+J8</f>
        <v>-54385278.234729841</v>
      </c>
      <c r="K9" s="213">
        <f>Table10[[#This Row],[Year 7]]+K8</f>
        <v>-50363474.575029753</v>
      </c>
      <c r="L9" s="213">
        <f>Table10[[#This Row],[Year 8]]+L8</f>
        <v>-46424000.690962635</v>
      </c>
      <c r="M9" s="213">
        <f>Table10[[#This Row],[Year 9]]+M8</f>
        <v>-42565095.772940651</v>
      </c>
      <c r="N9" s="213">
        <f>Table10[[#This Row],[Year 10]]+N8</f>
        <v>-38785039.327269875</v>
      </c>
      <c r="O9" s="213">
        <f>Table10[[#This Row],[Year 11]]+O8</f>
        <v>-35082150.176192641</v>
      </c>
      <c r="P9" s="213">
        <f>Table10[[#This Row],[Year 12]]+P8</f>
        <v>-31454785.484692376</v>
      </c>
      <c r="Q9" s="213">
        <f>Table10[[#This Row],[Year 13]]+Q8</f>
        <v>-27901339.81329973</v>
      </c>
      <c r="R9" s="213">
        <f>Table10[[#This Row],[Year 14]]+R8</f>
        <v>-24420244.196161509</v>
      </c>
      <c r="S9" s="213">
        <f>Table10[[#This Row],[Year 15]]+S8</f>
        <v>-21009965.243655667</v>
      </c>
      <c r="T9" s="213">
        <f>Table10[[#This Row],[Year 16]]+T8</f>
        <v>-17669004.268856995</v>
      </c>
      <c r="U9" s="213">
        <f>Table10[[#This Row],[Year 17]]+U8</f>
        <v>-14395896.437178595</v>
      </c>
      <c r="V9" s="213">
        <f>Table10[[#This Row],[Year 18]]+V8</f>
        <v>-11189209.938534278</v>
      </c>
      <c r="W9" s="213">
        <f>Table10[[#This Row],[Year 19]]+W8</f>
        <v>-8047545.1813863292</v>
      </c>
      <c r="X9" s="213">
        <f>Table10[[#This Row],[Year 20]]+X8</f>
        <v>-4969534.0080618672</v>
      </c>
      <c r="Y9" s="213">
        <f>Table10[[#This Row],[Year 21]]+Y8</f>
        <v>-1953838.9307391956</v>
      </c>
      <c r="Z9" s="213">
        <f>Table10[[#This Row],[Year 22]]+Z8</f>
        <v>1000847.612476802</v>
      </c>
      <c r="AA9" s="213">
        <f>Table10[[#This Row],[Year 23]]+AA8</f>
        <v>3895803.9819540647</v>
      </c>
      <c r="AB9" s="225">
        <f>Table10[[#This Row],[Year 24]]+AB8</f>
        <v>6732280.0419548247</v>
      </c>
    </row>
    <row r="12" spans="1:28" ht="16" x14ac:dyDescent="0.4">
      <c r="D12" s="315" t="s">
        <v>241</v>
      </c>
      <c r="E12" s="315"/>
      <c r="F12" s="315"/>
      <c r="G12" s="315"/>
      <c r="H12" s="315"/>
      <c r="I12" s="315"/>
    </row>
    <row r="13" spans="1:28" x14ac:dyDescent="0.35">
      <c r="A13" s="201" t="s">
        <v>116</v>
      </c>
      <c r="B13" s="45"/>
    </row>
    <row r="14" spans="1:28" ht="43.5" x14ac:dyDescent="0.35">
      <c r="A14" s="167" t="s">
        <v>242</v>
      </c>
      <c r="B14" s="226"/>
    </row>
    <row r="15" spans="1:28" ht="58" x14ac:dyDescent="0.35">
      <c r="A15" s="167" t="s">
        <v>243</v>
      </c>
      <c r="B15" s="226"/>
      <c r="C15" s="134"/>
    </row>
    <row r="16" spans="1:28" ht="43.5" x14ac:dyDescent="0.35">
      <c r="A16" s="167" t="s">
        <v>244</v>
      </c>
      <c r="B16" s="226"/>
    </row>
    <row r="17" spans="1:2" ht="43.5" x14ac:dyDescent="0.35">
      <c r="A17" s="167" t="s">
        <v>245</v>
      </c>
      <c r="B17" s="226"/>
    </row>
    <row r="18" spans="1:2" ht="72.5" x14ac:dyDescent="0.35">
      <c r="A18" s="167" t="s">
        <v>246</v>
      </c>
      <c r="B18" s="226"/>
    </row>
    <row r="19" spans="1:2" ht="43.5" x14ac:dyDescent="0.35">
      <c r="A19" s="167" t="s">
        <v>247</v>
      </c>
      <c r="B19" s="226"/>
    </row>
    <row r="20" spans="1:2" ht="43.5" x14ac:dyDescent="0.35">
      <c r="A20" s="167" t="s">
        <v>248</v>
      </c>
      <c r="B20" s="226"/>
    </row>
  </sheetData>
  <mergeCells count="2">
    <mergeCell ref="D12:I12"/>
    <mergeCell ref="A1:G1"/>
  </mergeCells>
  <pageMargins left="0.7" right="0.7" top="0.75" bottom="0.75" header="0.3" footer="0.3"/>
  <ignoredErrors>
    <ignoredError sqref="C5:C9" calculatedColumn="1"/>
  </ignoredError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12D01-30CF-4462-A8A3-ABF270E60811}">
  <dimension ref="A1:G26"/>
  <sheetViews>
    <sheetView showGridLines="0" workbookViewId="0">
      <selection activeCell="D15" sqref="D15"/>
    </sheetView>
  </sheetViews>
  <sheetFormatPr defaultRowHeight="14.5" x14ac:dyDescent="0.35"/>
  <cols>
    <col min="1" max="3" width="33.7265625" style="1" customWidth="1"/>
    <col min="4" max="16384" width="8.7265625" style="1"/>
  </cols>
  <sheetData>
    <row r="1" spans="1:7" ht="18.5" x14ac:dyDescent="0.45">
      <c r="A1" s="287" t="s">
        <v>240</v>
      </c>
      <c r="B1" s="287"/>
      <c r="C1" s="287"/>
      <c r="D1" s="31"/>
      <c r="E1" s="31"/>
      <c r="F1" s="31"/>
      <c r="G1" s="31"/>
    </row>
    <row r="3" spans="1:7" ht="16" x14ac:dyDescent="0.35">
      <c r="A3" s="227" t="s">
        <v>4</v>
      </c>
      <c r="B3" s="228" t="s">
        <v>6</v>
      </c>
      <c r="C3" s="229" t="s">
        <v>124</v>
      </c>
    </row>
    <row r="4" spans="1:7" x14ac:dyDescent="0.35">
      <c r="A4" s="112" t="s">
        <v>125</v>
      </c>
      <c r="B4" s="207" t="s">
        <v>23</v>
      </c>
      <c r="C4" s="182">
        <f>'01_Assumptions'!B11*10^6</f>
        <v>85000000</v>
      </c>
    </row>
    <row r="5" spans="1:7" x14ac:dyDescent="0.35">
      <c r="A5" s="114" t="s">
        <v>126</v>
      </c>
      <c r="B5" s="208" t="s">
        <v>15</v>
      </c>
      <c r="C5" s="284">
        <f>'01_Assumptions'!B29</f>
        <v>3.2656249999999998E-2</v>
      </c>
    </row>
    <row r="6" spans="1:7" x14ac:dyDescent="0.35">
      <c r="A6" s="112" t="s">
        <v>127</v>
      </c>
      <c r="B6" s="207" t="s">
        <v>23</v>
      </c>
      <c r="C6" s="182">
        <f>'08_DCF_Analysis'!AB9</f>
        <v>6732280.0419548247</v>
      </c>
    </row>
    <row r="7" spans="1:7" s="224" customFormat="1" x14ac:dyDescent="0.35">
      <c r="A7" s="110" t="s">
        <v>128</v>
      </c>
      <c r="B7" s="208" t="s">
        <v>15</v>
      </c>
      <c r="C7" s="285">
        <f>IRR('08_DCF_Analysis'!C4:AB4)</f>
        <v>3.9367079593305432E-2</v>
      </c>
    </row>
    <row r="8" spans="1:7" s="224" customFormat="1" x14ac:dyDescent="0.35">
      <c r="A8" s="112" t="s">
        <v>131</v>
      </c>
      <c r="B8" s="207" t="s">
        <v>15</v>
      </c>
      <c r="C8" s="286">
        <f>SUM('07_Cash_Flow'!D10:AB10)/'09_Investment_Returns'!C4</f>
        <v>0.62646721429694663</v>
      </c>
    </row>
    <row r="9" spans="1:7" x14ac:dyDescent="0.35">
      <c r="A9" s="114" t="s">
        <v>129</v>
      </c>
      <c r="B9" s="208" t="s">
        <v>130</v>
      </c>
      <c r="C9" s="282">
        <v>17</v>
      </c>
    </row>
    <row r="10" spans="1:7" x14ac:dyDescent="0.35">
      <c r="A10" s="112" t="s">
        <v>256</v>
      </c>
      <c r="B10" s="207" t="s">
        <v>130</v>
      </c>
      <c r="C10" s="283">
        <v>23</v>
      </c>
    </row>
    <row r="11" spans="1:7" x14ac:dyDescent="0.35">
      <c r="A11" s="230" t="s">
        <v>188</v>
      </c>
      <c r="B11" s="212" t="s">
        <v>41</v>
      </c>
      <c r="C11" s="231">
        <f>SUM('08_DCF_Analysis'!D8:AB8)/'05_Depreciation'!C4</f>
        <v>1.0792032946112335</v>
      </c>
    </row>
    <row r="14" spans="1:7" ht="16" x14ac:dyDescent="0.4">
      <c r="A14" s="315" t="s">
        <v>241</v>
      </c>
      <c r="B14" s="315"/>
      <c r="C14" s="315"/>
      <c r="D14" s="281"/>
      <c r="E14" s="281"/>
      <c r="F14" s="281"/>
    </row>
    <row r="18" spans="1:1" x14ac:dyDescent="0.35">
      <c r="A18" s="201" t="s">
        <v>116</v>
      </c>
    </row>
    <row r="19" spans="1:1" ht="43.5" x14ac:dyDescent="0.35">
      <c r="A19" s="167" t="s">
        <v>249</v>
      </c>
    </row>
    <row r="20" spans="1:1" ht="29" x14ac:dyDescent="0.35">
      <c r="A20" s="167" t="s">
        <v>250</v>
      </c>
    </row>
    <row r="21" spans="1:1" ht="29" x14ac:dyDescent="0.35">
      <c r="A21" s="43" t="s">
        <v>251</v>
      </c>
    </row>
    <row r="22" spans="1:1" ht="43.5" x14ac:dyDescent="0.35">
      <c r="A22" s="43" t="s">
        <v>252</v>
      </c>
    </row>
    <row r="23" spans="1:1" ht="43.5" x14ac:dyDescent="0.35">
      <c r="A23" s="43" t="s">
        <v>253</v>
      </c>
    </row>
    <row r="24" spans="1:1" ht="58" x14ac:dyDescent="0.35">
      <c r="A24" s="43" t="s">
        <v>254</v>
      </c>
    </row>
    <row r="25" spans="1:1" ht="58" x14ac:dyDescent="0.35">
      <c r="A25" s="43" t="s">
        <v>255</v>
      </c>
    </row>
    <row r="26" spans="1:1" ht="58" x14ac:dyDescent="0.35">
      <c r="A26" s="43" t="s">
        <v>216</v>
      </c>
    </row>
  </sheetData>
  <mergeCells count="2">
    <mergeCell ref="A1:C1"/>
    <mergeCell ref="A14:C14"/>
  </mergeCells>
  <pageMargins left="0.7" right="0.7" top="0.75" bottom="0.75" header="0.3" footer="0.3"/>
  <ignoredErrors>
    <ignoredError sqref="C5:C11" calculatedColumn="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F6CC-47E1-453D-A872-577A6AD5C254}">
  <dimension ref="A1:I59"/>
  <sheetViews>
    <sheetView showGridLines="0" tabSelected="1" topLeftCell="A37" zoomScale="85" zoomScaleNormal="85" workbookViewId="0">
      <selection activeCell="M48" sqref="M48"/>
    </sheetView>
  </sheetViews>
  <sheetFormatPr defaultRowHeight="14.5" x14ac:dyDescent="0.35"/>
  <cols>
    <col min="1" max="1" width="31.1796875" style="1" customWidth="1"/>
    <col min="2" max="2" width="18.54296875" style="1" customWidth="1"/>
    <col min="3" max="3" width="24.36328125" style="1" customWidth="1"/>
    <col min="4" max="4" width="30.90625" style="1" customWidth="1"/>
    <col min="5" max="5" width="20.08984375" style="1" customWidth="1"/>
    <col min="6" max="8" width="17.08984375" style="1" customWidth="1"/>
    <col min="9" max="9" width="13.54296875" style="1" customWidth="1"/>
    <col min="10" max="16384" width="8.7265625" style="1"/>
  </cols>
  <sheetData>
    <row r="1" spans="1:9" ht="18.5" x14ac:dyDescent="0.45">
      <c r="A1" s="287" t="s">
        <v>257</v>
      </c>
      <c r="B1" s="287"/>
      <c r="C1" s="287"/>
      <c r="D1" s="287"/>
      <c r="E1" s="287"/>
      <c r="F1" s="287"/>
      <c r="G1" s="287"/>
      <c r="H1" s="287"/>
      <c r="I1" s="287"/>
    </row>
    <row r="2" spans="1:9" ht="8.5" customHeight="1" x14ac:dyDescent="0.45">
      <c r="A2" s="116"/>
      <c r="B2" s="116"/>
      <c r="C2" s="116"/>
    </row>
    <row r="3" spans="1:9" ht="16" x14ac:dyDescent="0.4">
      <c r="A3" s="316" t="s">
        <v>258</v>
      </c>
      <c r="B3" s="316"/>
      <c r="C3" s="316"/>
      <c r="D3" s="316"/>
      <c r="E3" s="316"/>
      <c r="F3" s="316"/>
      <c r="G3" s="316"/>
      <c r="H3" s="316"/>
      <c r="I3" s="316"/>
    </row>
    <row r="5" spans="1:9" ht="16" x14ac:dyDescent="0.35">
      <c r="A5" s="203" t="s">
        <v>134</v>
      </c>
      <c r="B5" s="204" t="s">
        <v>135</v>
      </c>
      <c r="C5" s="204" t="s">
        <v>6</v>
      </c>
      <c r="D5" s="204" t="s">
        <v>147</v>
      </c>
      <c r="E5" s="243" t="s">
        <v>150</v>
      </c>
      <c r="F5" s="243" t="s">
        <v>151</v>
      </c>
      <c r="G5" s="243" t="s">
        <v>152</v>
      </c>
      <c r="H5" s="243" t="s">
        <v>153</v>
      </c>
      <c r="I5" s="15" t="s">
        <v>154</v>
      </c>
    </row>
    <row r="6" spans="1:9" x14ac:dyDescent="0.35">
      <c r="A6" s="112" t="s">
        <v>137</v>
      </c>
      <c r="B6" s="36">
        <f>'01_Assumptions'!B14</f>
        <v>59</v>
      </c>
      <c r="C6" s="36" t="s">
        <v>90</v>
      </c>
      <c r="D6" s="118" t="s">
        <v>138</v>
      </c>
      <c r="E6" s="93">
        <f>Table12[[#This Row],[Base Case]]*(1-0.2)</f>
        <v>47.2</v>
      </c>
      <c r="F6" s="93">
        <f>Table12[[#This Row],[Base Case]]*(1-0.1)</f>
        <v>53.1</v>
      </c>
      <c r="G6" s="93">
        <f>Table12[[#This Row],[Base Case]]*(1+0)</f>
        <v>59</v>
      </c>
      <c r="H6" s="93">
        <f>Table12[[#This Row],[Base Case]]*(1+0.1)</f>
        <v>64.900000000000006</v>
      </c>
      <c r="I6" s="138">
        <f>Table12[[#This Row],[Base Case]]*(1+0.2)</f>
        <v>70.8</v>
      </c>
    </row>
    <row r="7" spans="1:9" x14ac:dyDescent="0.35">
      <c r="A7" s="114" t="s">
        <v>8</v>
      </c>
      <c r="B7" s="39">
        <v>85</v>
      </c>
      <c r="C7" s="39" t="s">
        <v>24</v>
      </c>
      <c r="D7" s="119" t="s">
        <v>138</v>
      </c>
      <c r="E7" s="34">
        <f>Table12[[#This Row],[Base Case]]*(1-0.2)</f>
        <v>68</v>
      </c>
      <c r="F7" s="34">
        <f>Table12[[#This Row],[Base Case]]*(1-0.1)</f>
        <v>76.5</v>
      </c>
      <c r="G7" s="34">
        <f>Table12[[#This Row],[Base Case]]*(1+0)</f>
        <v>85</v>
      </c>
      <c r="H7" s="34">
        <f>Table12[[#This Row],[Base Case]]*(1+0.1)</f>
        <v>93.500000000000014</v>
      </c>
      <c r="I7" s="244">
        <f>Table12[[#This Row],[Base Case]]*(1+0.2)</f>
        <v>102</v>
      </c>
    </row>
    <row r="8" spans="1:9" x14ac:dyDescent="0.35">
      <c r="A8" s="245" t="s">
        <v>85</v>
      </c>
      <c r="B8" s="246">
        <v>0.14099999999999999</v>
      </c>
      <c r="C8" s="127" t="s">
        <v>15</v>
      </c>
      <c r="D8" s="247" t="s">
        <v>138</v>
      </c>
      <c r="E8" s="248">
        <f>Table12[[#This Row],[Base Case]]*(1-0.2)</f>
        <v>0.1128</v>
      </c>
      <c r="F8" s="248">
        <f>Table12[[#This Row],[Base Case]]*(1-0.1)</f>
        <v>0.12689999999999999</v>
      </c>
      <c r="G8" s="248">
        <f>Table12[[#This Row],[Base Case]]*(1+0)</f>
        <v>0.14099999999999999</v>
      </c>
      <c r="H8" s="248">
        <f>Table12[[#This Row],[Base Case]]*(1+0.1)</f>
        <v>0.15509999999999999</v>
      </c>
      <c r="I8" s="249">
        <f>Table12[[#This Row],[Base Case]]*(1+0.2)</f>
        <v>0.16919999999999999</v>
      </c>
    </row>
    <row r="11" spans="1:9" ht="16" x14ac:dyDescent="0.4">
      <c r="A11" s="250" t="s">
        <v>261</v>
      </c>
      <c r="D11" s="251" t="s">
        <v>127</v>
      </c>
      <c r="E11" s="251" t="s">
        <v>128</v>
      </c>
    </row>
    <row r="12" spans="1:9" ht="16" x14ac:dyDescent="0.35">
      <c r="A12" s="251" t="s">
        <v>141</v>
      </c>
      <c r="B12" s="251" t="s">
        <v>147</v>
      </c>
      <c r="C12" s="251" t="s">
        <v>137</v>
      </c>
      <c r="D12" s="252">
        <f>'08_DCF_Analysis'!AB9</f>
        <v>6732280.0419548247</v>
      </c>
      <c r="E12" s="253">
        <f>'09_Investment_Returns'!C7</f>
        <v>3.9367079593305432E-2</v>
      </c>
    </row>
    <row r="13" spans="1:9" x14ac:dyDescent="0.35">
      <c r="A13" s="254" t="s">
        <v>142</v>
      </c>
      <c r="B13" s="255">
        <v>-0.2</v>
      </c>
      <c r="C13" s="254">
        <f>'01_Assumptions'!C63</f>
        <v>47.2</v>
      </c>
      <c r="D13" s="256">
        <f>'01_Assumptions'!D63</f>
        <v>-12267585.43681314</v>
      </c>
      <c r="E13" s="257">
        <f>'01_Assumptions'!E63</f>
        <v>1.9566173237072215E-2</v>
      </c>
    </row>
    <row r="14" spans="1:9" x14ac:dyDescent="0.35">
      <c r="A14" s="258" t="s">
        <v>143</v>
      </c>
      <c r="B14" s="259">
        <v>-0.1</v>
      </c>
      <c r="C14" s="258">
        <f>'01_Assumptions'!C64</f>
        <v>53.1</v>
      </c>
      <c r="D14" s="260">
        <f>'01_Assumptions'!D64</f>
        <v>-2767652.6974291401</v>
      </c>
      <c r="E14" s="261">
        <f>'01_Assumptions'!E64</f>
        <v>2.9807880347292981E-2</v>
      </c>
    </row>
    <row r="15" spans="1:9" x14ac:dyDescent="0.35">
      <c r="A15" s="254" t="s">
        <v>144</v>
      </c>
      <c r="B15" s="255">
        <v>0</v>
      </c>
      <c r="C15" s="254">
        <f>'01_Assumptions'!C65</f>
        <v>59</v>
      </c>
      <c r="D15" s="256">
        <f>'01_Assumptions'!D65</f>
        <v>6732280.0419548247</v>
      </c>
      <c r="E15" s="257">
        <f>'01_Assumptions'!E65</f>
        <v>3.9367079593305432E-2</v>
      </c>
    </row>
    <row r="16" spans="1:9" x14ac:dyDescent="0.35">
      <c r="A16" s="258" t="s">
        <v>145</v>
      </c>
      <c r="B16" s="259">
        <v>0.1</v>
      </c>
      <c r="C16" s="258">
        <f>'01_Assumptions'!C66</f>
        <v>64.900000000000006</v>
      </c>
      <c r="D16" s="260">
        <f>'01_Assumptions'!D66</f>
        <v>16232212.781338837</v>
      </c>
      <c r="E16" s="261">
        <f>'01_Assumptions'!E66</f>
        <v>4.8381821847259143E-2</v>
      </c>
    </row>
    <row r="17" spans="1:5" x14ac:dyDescent="0.35">
      <c r="A17" s="254" t="s">
        <v>146</v>
      </c>
      <c r="B17" s="255">
        <v>0.2</v>
      </c>
      <c r="C17" s="254">
        <f>'01_Assumptions'!C67</f>
        <v>70.8</v>
      </c>
      <c r="D17" s="256">
        <f>'01_Assumptions'!D67</f>
        <v>25732145.520722799</v>
      </c>
      <c r="E17" s="257">
        <f>'01_Assumptions'!E67</f>
        <v>5.6953195021144154E-2</v>
      </c>
    </row>
    <row r="20" spans="1:5" ht="16" x14ac:dyDescent="0.4">
      <c r="A20" s="250" t="s">
        <v>262</v>
      </c>
      <c r="D20" s="251" t="s">
        <v>127</v>
      </c>
      <c r="E20" s="251" t="s">
        <v>128</v>
      </c>
    </row>
    <row r="21" spans="1:5" ht="16" x14ac:dyDescent="0.35">
      <c r="A21" s="251" t="s">
        <v>141</v>
      </c>
      <c r="B21" s="251" t="s">
        <v>147</v>
      </c>
      <c r="C21" s="251" t="s">
        <v>8</v>
      </c>
      <c r="D21" s="252">
        <f>'09_Investment_Returns'!C6</f>
        <v>6732280.0419548247</v>
      </c>
      <c r="E21" s="253">
        <f>'09_Investment_Returns'!C7</f>
        <v>3.9367079593305432E-2</v>
      </c>
    </row>
    <row r="22" spans="1:5" x14ac:dyDescent="0.35">
      <c r="A22" s="254" t="s">
        <v>142</v>
      </c>
      <c r="B22" s="255">
        <v>-0.2</v>
      </c>
      <c r="C22" s="254">
        <v>68</v>
      </c>
      <c r="D22" s="256">
        <f>'01_Assumptions'!D73</f>
        <v>20857784.727065019</v>
      </c>
      <c r="E22" s="262">
        <f>'01_Assumptions'!E73</f>
        <v>5.7276058867927304E-2</v>
      </c>
    </row>
    <row r="23" spans="1:5" x14ac:dyDescent="0.35">
      <c r="A23" s="258" t="s">
        <v>143</v>
      </c>
      <c r="B23" s="259">
        <v>-0.1</v>
      </c>
      <c r="C23" s="119">
        <v>76.5</v>
      </c>
      <c r="D23" s="260">
        <f>'01_Assumptions'!D74</f>
        <v>13795032.384509934</v>
      </c>
      <c r="E23" s="263">
        <f>'01_Assumptions'!E74</f>
        <v>4.7550758267285165E-2</v>
      </c>
    </row>
    <row r="24" spans="1:5" x14ac:dyDescent="0.35">
      <c r="A24" s="254" t="s">
        <v>144</v>
      </c>
      <c r="B24" s="255">
        <v>0</v>
      </c>
      <c r="C24" s="254">
        <v>85</v>
      </c>
      <c r="D24" s="256">
        <f>'01_Assumptions'!D75</f>
        <v>6732280.0419548247</v>
      </c>
      <c r="E24" s="262">
        <f>'01_Assumptions'!E75</f>
        <v>3.9367079593305432E-2</v>
      </c>
    </row>
    <row r="25" spans="1:5" x14ac:dyDescent="0.35">
      <c r="A25" s="258" t="s">
        <v>145</v>
      </c>
      <c r="B25" s="259">
        <v>0.1</v>
      </c>
      <c r="C25" s="119">
        <v>93.500000000000014</v>
      </c>
      <c r="D25" s="260">
        <f>'01_Assumptions'!D76</f>
        <v>-330472.30060027493</v>
      </c>
      <c r="E25" s="263">
        <f>'01_Assumptions'!E76</f>
        <v>3.2349851580104616E-2</v>
      </c>
    </row>
    <row r="26" spans="1:5" x14ac:dyDescent="0.35">
      <c r="A26" s="254" t="s">
        <v>146</v>
      </c>
      <c r="B26" s="255">
        <v>0.2</v>
      </c>
      <c r="C26" s="254">
        <v>102</v>
      </c>
      <c r="D26" s="256">
        <f>'01_Assumptions'!D77</f>
        <v>-7393224.6431553485</v>
      </c>
      <c r="E26" s="262">
        <f>'01_Assumptions'!E77</f>
        <v>2.6241636507576827E-2</v>
      </c>
    </row>
    <row r="29" spans="1:5" ht="16" x14ac:dyDescent="0.4">
      <c r="A29" s="250" t="s">
        <v>263</v>
      </c>
      <c r="D29" s="251" t="s">
        <v>127</v>
      </c>
      <c r="E29" s="251" t="s">
        <v>128</v>
      </c>
    </row>
    <row r="30" spans="1:5" ht="16" x14ac:dyDescent="0.35">
      <c r="A30" s="251" t="s">
        <v>141</v>
      </c>
      <c r="B30" s="251" t="s">
        <v>147</v>
      </c>
      <c r="C30" s="251" t="s">
        <v>85</v>
      </c>
      <c r="D30" s="252">
        <f>'09_Investment_Returns'!C6</f>
        <v>6732280.0419548247</v>
      </c>
      <c r="E30" s="253">
        <f>'09_Investment_Returns'!C7</f>
        <v>3.9367079593305432E-2</v>
      </c>
    </row>
    <row r="31" spans="1:5" x14ac:dyDescent="0.35">
      <c r="A31" s="254" t="s">
        <v>142</v>
      </c>
      <c r="B31" s="255">
        <v>-0.2</v>
      </c>
      <c r="C31" s="257">
        <v>0.1128</v>
      </c>
      <c r="D31" s="256">
        <f>'01_Assumptions'!D83</f>
        <v>-12267585.43681314</v>
      </c>
      <c r="E31" s="262">
        <f>'01_Assumptions'!E83</f>
        <v>1.9566173237072215E-2</v>
      </c>
    </row>
    <row r="32" spans="1:5" x14ac:dyDescent="0.35">
      <c r="A32" s="258" t="s">
        <v>143</v>
      </c>
      <c r="B32" s="259">
        <v>-0.1</v>
      </c>
      <c r="C32" s="264">
        <v>0.12689999999999999</v>
      </c>
      <c r="D32" s="260">
        <f>'01_Assumptions'!D84</f>
        <v>-2767652.6974291531</v>
      </c>
      <c r="E32" s="263">
        <f>'01_Assumptions'!E84</f>
        <v>2.9807880347292981E-2</v>
      </c>
    </row>
    <row r="33" spans="1:9" x14ac:dyDescent="0.35">
      <c r="A33" s="254" t="s">
        <v>144</v>
      </c>
      <c r="B33" s="255">
        <v>0</v>
      </c>
      <c r="C33" s="257">
        <v>0.14099999999999999</v>
      </c>
      <c r="D33" s="256">
        <f>'01_Assumptions'!D85</f>
        <v>6732280.0419548247</v>
      </c>
      <c r="E33" s="262">
        <f>'01_Assumptions'!E85</f>
        <v>3.9367079593305432E-2</v>
      </c>
    </row>
    <row r="34" spans="1:9" x14ac:dyDescent="0.35">
      <c r="A34" s="258" t="s">
        <v>145</v>
      </c>
      <c r="B34" s="259">
        <v>0.1</v>
      </c>
      <c r="C34" s="265">
        <v>0.15509999999999999</v>
      </c>
      <c r="D34" s="260">
        <f>'01_Assumptions'!D86</f>
        <v>16232212.781338826</v>
      </c>
      <c r="E34" s="263">
        <f>'01_Assumptions'!E86</f>
        <v>4.8381821847259143E-2</v>
      </c>
    </row>
    <row r="35" spans="1:9" x14ac:dyDescent="0.35">
      <c r="A35" s="254" t="s">
        <v>146</v>
      </c>
      <c r="B35" s="255">
        <v>0.2</v>
      </c>
      <c r="C35" s="257">
        <v>0.16919999999999999</v>
      </c>
      <c r="D35" s="256">
        <f>'01_Assumptions'!D87</f>
        <v>25732145.520722825</v>
      </c>
      <c r="E35" s="262">
        <f>'01_Assumptions'!E87</f>
        <v>5.6953195021144154E-2</v>
      </c>
    </row>
    <row r="37" spans="1:9" ht="16" x14ac:dyDescent="0.4">
      <c r="A37" s="316" t="s">
        <v>259</v>
      </c>
      <c r="B37" s="316"/>
      <c r="C37" s="316"/>
      <c r="D37" s="316"/>
      <c r="E37" s="316"/>
      <c r="F37" s="316"/>
      <c r="G37" s="316"/>
      <c r="H37" s="316"/>
      <c r="I37" s="316"/>
    </row>
    <row r="39" spans="1:9" ht="16" x14ac:dyDescent="0.35">
      <c r="A39" s="203" t="s">
        <v>147</v>
      </c>
      <c r="B39" s="204" t="s">
        <v>137</v>
      </c>
      <c r="C39" s="204" t="s">
        <v>8</v>
      </c>
      <c r="D39" s="266" t="s">
        <v>85</v>
      </c>
      <c r="E39" s="166"/>
      <c r="F39" s="318" t="s">
        <v>134</v>
      </c>
      <c r="G39" s="319" t="s">
        <v>266</v>
      </c>
      <c r="H39" s="320" t="s">
        <v>267</v>
      </c>
    </row>
    <row r="40" spans="1:9" x14ac:dyDescent="0.35">
      <c r="A40" s="267">
        <v>-0.2</v>
      </c>
      <c r="B40" s="268">
        <f>D13</f>
        <v>-12267585.43681314</v>
      </c>
      <c r="C40" s="268">
        <f>D22</f>
        <v>20857784.727065019</v>
      </c>
      <c r="D40" s="269">
        <f>D31</f>
        <v>-12267585.43681314</v>
      </c>
      <c r="F40" s="321" t="s">
        <v>137</v>
      </c>
      <c r="G40" s="324">
        <f>B41-B42</f>
        <v>-9499932.7393839657</v>
      </c>
      <c r="H40" s="324">
        <f>B43-B42</f>
        <v>9499932.7393840123</v>
      </c>
    </row>
    <row r="41" spans="1:9" x14ac:dyDescent="0.35">
      <c r="A41" s="270">
        <v>-0.1</v>
      </c>
      <c r="B41" s="271">
        <f t="shared" ref="B41:B44" si="0">D14</f>
        <v>-2767652.6974291401</v>
      </c>
      <c r="C41" s="271">
        <f t="shared" ref="C41:C44" si="1">D23</f>
        <v>13795032.384509934</v>
      </c>
      <c r="D41" s="272">
        <f t="shared" ref="D41:D44" si="2">D32</f>
        <v>-2767652.6974291531</v>
      </c>
      <c r="F41" s="322" t="s">
        <v>269</v>
      </c>
      <c r="G41" s="325">
        <f>Table14[[#This Row],[CAPEX]]-C42</f>
        <v>7062752.3425551094</v>
      </c>
      <c r="H41" s="326">
        <f>C43-C42</f>
        <v>-7062752.3425551001</v>
      </c>
    </row>
    <row r="42" spans="1:9" x14ac:dyDescent="0.35">
      <c r="A42" s="267">
        <v>0</v>
      </c>
      <c r="B42" s="268">
        <f t="shared" si="0"/>
        <v>6732280.0419548247</v>
      </c>
      <c r="C42" s="268">
        <f t="shared" si="1"/>
        <v>6732280.0419548247</v>
      </c>
      <c r="D42" s="269">
        <f t="shared" si="2"/>
        <v>6732280.0419548247</v>
      </c>
      <c r="F42" s="323" t="s">
        <v>268</v>
      </c>
      <c r="G42" s="327">
        <f>D41-Table14[[#This Row],[Capacity Factor]]</f>
        <v>-9499932.7393839769</v>
      </c>
      <c r="H42" s="324">
        <f>D43-Table14[[#This Row],[Capacity Factor]]</f>
        <v>9499932.7393840011</v>
      </c>
    </row>
    <row r="43" spans="1:9" x14ac:dyDescent="0.35">
      <c r="A43" s="270">
        <v>0.1</v>
      </c>
      <c r="B43" s="271">
        <f t="shared" si="0"/>
        <v>16232212.781338837</v>
      </c>
      <c r="C43" s="271">
        <f t="shared" si="1"/>
        <v>-330472.30060027493</v>
      </c>
      <c r="D43" s="272">
        <f t="shared" si="2"/>
        <v>16232212.781338826</v>
      </c>
    </row>
    <row r="44" spans="1:9" x14ac:dyDescent="0.35">
      <c r="A44" s="273">
        <v>0.2</v>
      </c>
      <c r="B44" s="274">
        <f t="shared" si="0"/>
        <v>25732145.520722799</v>
      </c>
      <c r="C44" s="274">
        <f t="shared" si="1"/>
        <v>-7393224.6431553485</v>
      </c>
      <c r="D44" s="275">
        <f t="shared" si="2"/>
        <v>25732145.520722825</v>
      </c>
    </row>
    <row r="47" spans="1:9" x14ac:dyDescent="0.35">
      <c r="F47" s="11"/>
    </row>
    <row r="48" spans="1:9" ht="111" customHeight="1" x14ac:dyDescent="0.35"/>
    <row r="49" spans="1:9" ht="111" customHeight="1" x14ac:dyDescent="0.35"/>
    <row r="50" spans="1:9" ht="50" customHeight="1" x14ac:dyDescent="0.35">
      <c r="A50" s="317" t="s">
        <v>264</v>
      </c>
      <c r="B50" s="317"/>
      <c r="C50" s="317"/>
      <c r="D50" s="317"/>
      <c r="E50" s="317"/>
      <c r="F50" s="11"/>
    </row>
    <row r="51" spans="1:9" ht="16" customHeight="1" x14ac:dyDescent="0.35">
      <c r="A51" s="280"/>
      <c r="B51" s="280"/>
      <c r="C51" s="280"/>
      <c r="D51" s="280"/>
      <c r="E51" s="280"/>
      <c r="F51" s="11"/>
    </row>
    <row r="52" spans="1:9" ht="16" x14ac:dyDescent="0.4">
      <c r="A52" s="316" t="s">
        <v>260</v>
      </c>
      <c r="B52" s="316"/>
      <c r="C52" s="316"/>
      <c r="D52" s="316"/>
      <c r="E52" s="316"/>
      <c r="F52" s="316"/>
      <c r="G52" s="316"/>
      <c r="H52" s="316"/>
      <c r="I52" s="316"/>
    </row>
    <row r="54" spans="1:9" ht="16" x14ac:dyDescent="0.35">
      <c r="A54" s="203" t="s">
        <v>147</v>
      </c>
      <c r="B54" s="204" t="s">
        <v>137</v>
      </c>
      <c r="C54" s="204" t="s">
        <v>8</v>
      </c>
      <c r="D54" s="266" t="s">
        <v>85</v>
      </c>
    </row>
    <row r="55" spans="1:9" x14ac:dyDescent="0.35">
      <c r="A55" s="267">
        <v>-0.2</v>
      </c>
      <c r="B55" s="262">
        <f t="shared" ref="B55:B59" si="3">E31</f>
        <v>1.9566173237072215E-2</v>
      </c>
      <c r="C55" s="262">
        <f t="shared" ref="C55:C59" si="4">E22</f>
        <v>5.7276058867927304E-2</v>
      </c>
      <c r="D55" s="276">
        <f t="shared" ref="D55:D59" si="5">E31</f>
        <v>1.9566173237072215E-2</v>
      </c>
    </row>
    <row r="56" spans="1:9" x14ac:dyDescent="0.35">
      <c r="A56" s="270">
        <v>-0.1</v>
      </c>
      <c r="B56" s="263">
        <f t="shared" si="3"/>
        <v>2.9807880347292981E-2</v>
      </c>
      <c r="C56" s="263">
        <f t="shared" si="4"/>
        <v>4.7550758267285165E-2</v>
      </c>
      <c r="D56" s="277">
        <f t="shared" si="5"/>
        <v>2.9807880347292981E-2</v>
      </c>
    </row>
    <row r="57" spans="1:9" x14ac:dyDescent="0.35">
      <c r="A57" s="267">
        <v>0</v>
      </c>
      <c r="B57" s="262">
        <f t="shared" si="3"/>
        <v>3.9367079593305432E-2</v>
      </c>
      <c r="C57" s="262">
        <f t="shared" si="4"/>
        <v>3.9367079593305432E-2</v>
      </c>
      <c r="D57" s="276">
        <f t="shared" si="5"/>
        <v>3.9367079593305432E-2</v>
      </c>
    </row>
    <row r="58" spans="1:9" x14ac:dyDescent="0.35">
      <c r="A58" s="270">
        <v>0.1</v>
      </c>
      <c r="B58" s="263">
        <f t="shared" si="3"/>
        <v>4.8381821847259143E-2</v>
      </c>
      <c r="C58" s="263">
        <f t="shared" si="4"/>
        <v>3.2349851580104616E-2</v>
      </c>
      <c r="D58" s="277">
        <f t="shared" si="5"/>
        <v>4.8381821847259143E-2</v>
      </c>
    </row>
    <row r="59" spans="1:9" x14ac:dyDescent="0.35">
      <c r="A59" s="273">
        <v>0.2</v>
      </c>
      <c r="B59" s="278">
        <f t="shared" si="3"/>
        <v>5.6953195021144154E-2</v>
      </c>
      <c r="C59" s="278">
        <f t="shared" si="4"/>
        <v>2.6241636507576827E-2</v>
      </c>
      <c r="D59" s="279">
        <f t="shared" si="5"/>
        <v>5.6953195021144154E-2</v>
      </c>
    </row>
  </sheetData>
  <mergeCells count="5">
    <mergeCell ref="A1:I1"/>
    <mergeCell ref="A3:I3"/>
    <mergeCell ref="A37:I37"/>
    <mergeCell ref="A52:I52"/>
    <mergeCell ref="A50:E50"/>
  </mergeCells>
  <phoneticPr fontId="3" type="noConversion"/>
  <pageMargins left="0.7" right="0.7" top="0.75" bottom="0.75" header="0.3" footer="0.3"/>
  <pageSetup paperSize="9" orientation="portrait" r:id="rId1"/>
  <drawing r:id="rId2"/>
  <tableParts count="4">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00_Executive Summary</vt:lpstr>
      <vt:lpstr>01_Assumptions</vt:lpstr>
      <vt:lpstr>02_Operations</vt:lpstr>
      <vt:lpstr>03_Revenues</vt:lpstr>
      <vt:lpstr>04_Costs</vt:lpstr>
      <vt:lpstr>05_Depreciation</vt:lpstr>
      <vt:lpstr>06_Financing</vt:lpstr>
      <vt:lpstr>07_Cash_Flow</vt:lpstr>
      <vt:lpstr>08_DCF_Analysis</vt:lpstr>
      <vt:lpstr>09_Investment_Returns</vt:lpstr>
      <vt:lpstr>10_Sensitivity Analysis</vt:lpstr>
    </vt:vector>
  </TitlesOfParts>
  <Company>ATR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ARIF, HAJAR (SCALIAN)</dc:creator>
  <cp:lastModifiedBy>ARIF, HAJAR (SCALIAN)</cp:lastModifiedBy>
  <dcterms:created xsi:type="dcterms:W3CDTF">2026-08-11T14:12:47Z</dcterms:created>
  <dcterms:modified xsi:type="dcterms:W3CDTF">2026-08-27T09:04:11Z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a0db4f-8132-447e-a8c4-20d2ba9b8ca1_Enabled">
    <vt:lpwstr>true</vt:lpwstr>
  </property>
  <property fmtid="{D5CDD505-2E9C-101B-9397-08002B2CF9AE}" pid="3" name="MSIP_Label_e8a0db4f-8132-447e-a8c4-20d2ba9b8ca1_SetDate">
    <vt:lpwstr>2026-08-11T14:14:47Z</vt:lpwstr>
  </property>
  <property fmtid="{D5CDD505-2E9C-101B-9397-08002B2CF9AE}" pid="4" name="MSIP_Label_e8a0db4f-8132-447e-a8c4-20d2ba9b8ca1_Method">
    <vt:lpwstr>Standard</vt:lpwstr>
  </property>
  <property fmtid="{D5CDD505-2E9C-101B-9397-08002B2CF9AE}" pid="5" name="MSIP_Label_e8a0db4f-8132-447e-a8c4-20d2ba9b8ca1_Name">
    <vt:lpwstr>GENERAL</vt:lpwstr>
  </property>
  <property fmtid="{D5CDD505-2E9C-101B-9397-08002B2CF9AE}" pid="6" name="MSIP_Label_e8a0db4f-8132-447e-a8c4-20d2ba9b8ca1_SiteId">
    <vt:lpwstr>3e6c416a-bb51-43e5-bb57-7e72d96922e9</vt:lpwstr>
  </property>
  <property fmtid="{D5CDD505-2E9C-101B-9397-08002B2CF9AE}" pid="7" name="MSIP_Label_e8a0db4f-8132-447e-a8c4-20d2ba9b8ca1_ActionId">
    <vt:lpwstr>d9f00ef9-787b-4913-bd4d-05bdf3fef019</vt:lpwstr>
  </property>
  <property fmtid="{D5CDD505-2E9C-101B-9397-08002B2CF9AE}" pid="8" name="MSIP_Label_e8a0db4f-8132-447e-a8c4-20d2ba9b8ca1_ContentBits">
    <vt:lpwstr>0</vt:lpwstr>
  </property>
  <property fmtid="{D5CDD505-2E9C-101B-9397-08002B2CF9AE}" pid="9" name="MSIP_Label_e8a0db4f-8132-447e-a8c4-20d2ba9b8ca1_Tag">
    <vt:lpwstr>10, 3, 0, 1</vt:lpwstr>
  </property>
</Properties>
</file>