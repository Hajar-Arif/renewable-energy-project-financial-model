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06473\.cisco\Desktop\PERSONNEL\Project 3 - Green Financial MODEL\"/>
    </mc:Choice>
  </mc:AlternateContent>
  <xr:revisionPtr revIDLastSave="0" documentId="13_ncr:1_{7A051264-C94F-4423-9398-6AB8BD40A5CF}" xr6:coauthVersionLast="47" xr6:coauthVersionMax="47" xr10:uidLastSave="{00000000-0000-0000-0000-000000000000}"/>
  <bookViews>
    <workbookView xWindow="-110" yWindow="-110" windowWidth="19420" windowHeight="10300" firstSheet="5" activeTab="8" xr2:uid="{291EEDE1-B113-4729-85C4-34616A36BF60}"/>
  </bookViews>
  <sheets>
    <sheet name="01_Assumptions" sheetId="1" r:id="rId1"/>
    <sheet name="02_Operations" sheetId="2" r:id="rId2"/>
    <sheet name="03_Revenues" sheetId="3" r:id="rId3"/>
    <sheet name="04_Costs" sheetId="4" r:id="rId4"/>
    <sheet name="05_Depreciation" sheetId="5" r:id="rId5"/>
    <sheet name="06_Financing" sheetId="6" r:id="rId6"/>
    <sheet name="07_Cash_Flow" sheetId="7" r:id="rId7"/>
    <sheet name="08_DCF_Analysis" sheetId="9" r:id="rId8"/>
    <sheet name="09_Investment_Returns" sheetId="10" r:id="rId9"/>
    <sheet name="07_Equity_Cash_Flow" sheetId="8" state="hidden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10" l="1"/>
  <c r="E7" i="9"/>
  <c r="D7" i="9"/>
  <c r="C7" i="9"/>
  <c r="D6" i="9"/>
  <c r="E8" i="6"/>
  <c r="E4" i="6"/>
  <c r="D10" i="6"/>
  <c r="D8" i="6"/>
  <c r="D4" i="6"/>
  <c r="F8" i="6"/>
  <c r="D12" i="7"/>
  <c r="AB9" i="7"/>
  <c r="AB8" i="7"/>
  <c r="D9" i="7"/>
  <c r="AB7" i="7"/>
  <c r="R7" i="7"/>
  <c r="D7" i="7"/>
  <c r="D8" i="7"/>
  <c r="E9" i="5"/>
  <c r="D9" i="5"/>
  <c r="C9" i="5"/>
  <c r="E7" i="5"/>
  <c r="D7" i="5"/>
  <c r="D6" i="5"/>
  <c r="AB5" i="4"/>
  <c r="D5" i="4"/>
  <c r="D4" i="4"/>
  <c r="D4" i="7" s="1"/>
  <c r="D4" i="3"/>
  <c r="D5" i="3" s="1"/>
  <c r="E3" i="3"/>
  <c r="D3" i="3"/>
  <c r="D6" i="2"/>
  <c r="D9" i="2" s="1"/>
  <c r="C6" i="2"/>
  <c r="B27" i="1"/>
  <c r="C3" i="10"/>
  <c r="C6" i="9"/>
  <c r="AB14" i="8"/>
  <c r="AA14" i="8"/>
  <c r="Z14" i="8"/>
  <c r="Y14" i="8"/>
  <c r="X14" i="8"/>
  <c r="W14" i="8"/>
  <c r="V14" i="8"/>
  <c r="U14" i="8"/>
  <c r="T14" i="8"/>
  <c r="S14" i="8"/>
  <c r="C14" i="8"/>
  <c r="C10" i="8"/>
  <c r="C11" i="8" s="1"/>
  <c r="AB8" i="8"/>
  <c r="AA8" i="8"/>
  <c r="Z8" i="8"/>
  <c r="Y8" i="8"/>
  <c r="X8" i="8"/>
  <c r="W8" i="8"/>
  <c r="V8" i="8"/>
  <c r="U8" i="8"/>
  <c r="T8" i="8"/>
  <c r="S8" i="8"/>
  <c r="C8" i="8"/>
  <c r="C4" i="8"/>
  <c r="C3" i="8"/>
  <c r="C5" i="8" s="1"/>
  <c r="C4" i="7"/>
  <c r="C3" i="7"/>
  <c r="C7" i="6"/>
  <c r="C6" i="6"/>
  <c r="C3" i="6"/>
  <c r="C5" i="6" s="1"/>
  <c r="C7" i="5"/>
  <c r="C8" i="5" s="1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C3" i="5"/>
  <c r="L7" i="5" s="1"/>
  <c r="C3" i="4"/>
  <c r="C5" i="3"/>
  <c r="C3" i="3"/>
  <c r="B28" i="1"/>
  <c r="C4" i="10" s="1"/>
  <c r="E4" i="3" l="1"/>
  <c r="E6" i="2"/>
  <c r="E9" i="2" s="1"/>
  <c r="B30" i="1"/>
  <c r="D3" i="8"/>
  <c r="D3" i="7"/>
  <c r="D5" i="7" s="1"/>
  <c r="L5" i="9"/>
  <c r="T5" i="9"/>
  <c r="AB5" i="9"/>
  <c r="E5" i="9"/>
  <c r="M5" i="9"/>
  <c r="U5" i="9"/>
  <c r="D5" i="9"/>
  <c r="W5" i="9"/>
  <c r="F5" i="9"/>
  <c r="N5" i="9"/>
  <c r="V5" i="9"/>
  <c r="O5" i="9"/>
  <c r="G5" i="9"/>
  <c r="H5" i="9"/>
  <c r="P5" i="9"/>
  <c r="X5" i="9"/>
  <c r="I5" i="9"/>
  <c r="Q5" i="9"/>
  <c r="Y5" i="9"/>
  <c r="J5" i="9"/>
  <c r="R5" i="9"/>
  <c r="Z5" i="9"/>
  <c r="S5" i="9"/>
  <c r="AA5" i="9"/>
  <c r="K5" i="9"/>
  <c r="L6" i="8"/>
  <c r="L12" i="8" s="1"/>
  <c r="L6" i="7"/>
  <c r="L10" i="7" s="1"/>
  <c r="AA7" i="5"/>
  <c r="S7" i="5"/>
  <c r="K7" i="5"/>
  <c r="Z7" i="5"/>
  <c r="R7" i="5"/>
  <c r="J7" i="5"/>
  <c r="C10" i="6"/>
  <c r="D9" i="6" s="1"/>
  <c r="C6" i="7"/>
  <c r="C10" i="7" s="1"/>
  <c r="Q7" i="5"/>
  <c r="Y7" i="5"/>
  <c r="X7" i="5"/>
  <c r="H7" i="5"/>
  <c r="V7" i="5"/>
  <c r="N7" i="5"/>
  <c r="D4" i="8"/>
  <c r="C6" i="8"/>
  <c r="C12" i="8" s="1"/>
  <c r="E4" i="4"/>
  <c r="W7" i="5"/>
  <c r="O7" i="5"/>
  <c r="G7" i="5"/>
  <c r="U7" i="5"/>
  <c r="M7" i="5"/>
  <c r="AB7" i="5"/>
  <c r="P7" i="5"/>
  <c r="I7" i="5"/>
  <c r="F7" i="5"/>
  <c r="T7" i="5"/>
  <c r="C5" i="7"/>
  <c r="C15" i="8"/>
  <c r="D3" i="4"/>
  <c r="F4" i="3"/>
  <c r="F5" i="3" s="1"/>
  <c r="E5" i="3"/>
  <c r="D5" i="8" l="1"/>
  <c r="F6" i="2"/>
  <c r="F9" i="2" s="1"/>
  <c r="F3" i="3" s="1"/>
  <c r="F9" i="5"/>
  <c r="G9" i="5" s="1"/>
  <c r="H9" i="5" s="1"/>
  <c r="I9" i="5" s="1"/>
  <c r="J9" i="5" s="1"/>
  <c r="K9" i="5" s="1"/>
  <c r="L9" i="5" s="1"/>
  <c r="M9" i="5" s="1"/>
  <c r="N9" i="5" s="1"/>
  <c r="O9" i="5" s="1"/>
  <c r="P9" i="5" s="1"/>
  <c r="I9" i="6"/>
  <c r="I14" i="8" s="1"/>
  <c r="E9" i="6"/>
  <c r="E14" i="8" s="1"/>
  <c r="E6" i="9"/>
  <c r="F6" i="9" s="1"/>
  <c r="G6" i="9" s="1"/>
  <c r="R9" i="6"/>
  <c r="R14" i="8" s="1"/>
  <c r="F9" i="6"/>
  <c r="F14" i="8" s="1"/>
  <c r="H9" i="6"/>
  <c r="H14" i="8" s="1"/>
  <c r="P9" i="6"/>
  <c r="P14" i="8" s="1"/>
  <c r="Q9" i="6"/>
  <c r="Q14" i="8" s="1"/>
  <c r="G9" i="6"/>
  <c r="G14" i="8" s="1"/>
  <c r="K9" i="6"/>
  <c r="K14" i="8" s="1"/>
  <c r="O9" i="6"/>
  <c r="O14" i="8" s="1"/>
  <c r="J9" i="6"/>
  <c r="J14" i="8" s="1"/>
  <c r="U6" i="8"/>
  <c r="U12" i="8" s="1"/>
  <c r="U6" i="7"/>
  <c r="U10" i="7" s="1"/>
  <c r="E6" i="8"/>
  <c r="E12" i="8" s="1"/>
  <c r="E6" i="7"/>
  <c r="E10" i="7" s="1"/>
  <c r="L9" i="6"/>
  <c r="L14" i="8" s="1"/>
  <c r="M9" i="6"/>
  <c r="M14" i="8" s="1"/>
  <c r="N9" i="6"/>
  <c r="N14" i="8" s="1"/>
  <c r="D14" i="8"/>
  <c r="N6" i="7"/>
  <c r="N10" i="7" s="1"/>
  <c r="N6" i="8"/>
  <c r="N12" i="8" s="1"/>
  <c r="T6" i="8"/>
  <c r="T12" i="8" s="1"/>
  <c r="T6" i="7"/>
  <c r="T10" i="7" s="1"/>
  <c r="D8" i="5"/>
  <c r="E8" i="5" s="1"/>
  <c r="F8" i="5" s="1"/>
  <c r="G8" i="5" s="1"/>
  <c r="H8" i="5" s="1"/>
  <c r="I8" i="5" s="1"/>
  <c r="J8" i="5" s="1"/>
  <c r="K8" i="5" s="1"/>
  <c r="L8" i="5" s="1"/>
  <c r="M8" i="5" s="1"/>
  <c r="N8" i="5" s="1"/>
  <c r="O8" i="5" s="1"/>
  <c r="P8" i="5" s="1"/>
  <c r="Q8" i="5" s="1"/>
  <c r="R8" i="5" s="1"/>
  <c r="S8" i="5" s="1"/>
  <c r="T8" i="5" s="1"/>
  <c r="U8" i="5" s="1"/>
  <c r="V8" i="5" s="1"/>
  <c r="W8" i="5" s="1"/>
  <c r="X8" i="5" s="1"/>
  <c r="Y8" i="5" s="1"/>
  <c r="Z8" i="5" s="1"/>
  <c r="AA8" i="5" s="1"/>
  <c r="AB8" i="5" s="1"/>
  <c r="D6" i="8"/>
  <c r="D12" i="8" s="1"/>
  <c r="D6" i="7"/>
  <c r="D10" i="7" s="1"/>
  <c r="V6" i="7"/>
  <c r="V10" i="7" s="1"/>
  <c r="V6" i="8"/>
  <c r="V12" i="8" s="1"/>
  <c r="R6" i="8"/>
  <c r="R12" i="8" s="1"/>
  <c r="R6" i="7"/>
  <c r="R10" i="7" s="1"/>
  <c r="E3" i="4"/>
  <c r="E5" i="4" s="1"/>
  <c r="E3" i="7"/>
  <c r="E3" i="8"/>
  <c r="Q9" i="5"/>
  <c r="R9" i="5" s="1"/>
  <c r="S9" i="5" s="1"/>
  <c r="T9" i="5" s="1"/>
  <c r="U9" i="5" s="1"/>
  <c r="V9" i="5" s="1"/>
  <c r="W9" i="5" s="1"/>
  <c r="X9" i="5" s="1"/>
  <c r="Y9" i="5" s="1"/>
  <c r="Z9" i="5" s="1"/>
  <c r="AA9" i="5" s="1"/>
  <c r="AB9" i="5" s="1"/>
  <c r="F6" i="7"/>
  <c r="F10" i="7" s="1"/>
  <c r="F6" i="8"/>
  <c r="F12" i="8" s="1"/>
  <c r="O6" i="7"/>
  <c r="O10" i="7" s="1"/>
  <c r="O6" i="8"/>
  <c r="O12" i="8" s="1"/>
  <c r="H6" i="7"/>
  <c r="H10" i="7" s="1"/>
  <c r="H6" i="8"/>
  <c r="H12" i="8" s="1"/>
  <c r="Z6" i="8"/>
  <c r="Z12" i="8" s="1"/>
  <c r="Z6" i="7"/>
  <c r="Z10" i="7" s="1"/>
  <c r="C7" i="8"/>
  <c r="AB6" i="8"/>
  <c r="AB12" i="8" s="1"/>
  <c r="AB6" i="7"/>
  <c r="AB10" i="7" s="1"/>
  <c r="AA6" i="8"/>
  <c r="AA12" i="8" s="1"/>
  <c r="AA6" i="7"/>
  <c r="AA10" i="7" s="1"/>
  <c r="J6" i="8"/>
  <c r="J12" i="8" s="1"/>
  <c r="J6" i="7"/>
  <c r="J10" i="7" s="1"/>
  <c r="I6" i="7"/>
  <c r="I10" i="7" s="1"/>
  <c r="I6" i="8"/>
  <c r="I12" i="8" s="1"/>
  <c r="W6" i="7"/>
  <c r="W10" i="7" s="1"/>
  <c r="W6" i="8"/>
  <c r="W12" i="8" s="1"/>
  <c r="X6" i="7"/>
  <c r="X10" i="7" s="1"/>
  <c r="X6" i="8"/>
  <c r="X12" i="8" s="1"/>
  <c r="K6" i="8"/>
  <c r="K12" i="8" s="1"/>
  <c r="K6" i="7"/>
  <c r="K10" i="7" s="1"/>
  <c r="Q6" i="8"/>
  <c r="Q12" i="8" s="1"/>
  <c r="Q6" i="7"/>
  <c r="Q10" i="7" s="1"/>
  <c r="M6" i="8"/>
  <c r="M12" i="8" s="1"/>
  <c r="M6" i="7"/>
  <c r="M10" i="7" s="1"/>
  <c r="G6" i="7"/>
  <c r="G10" i="7" s="1"/>
  <c r="G6" i="8"/>
  <c r="G12" i="8" s="1"/>
  <c r="C7" i="7"/>
  <c r="P6" i="7"/>
  <c r="P10" i="7" s="1"/>
  <c r="P6" i="8"/>
  <c r="P12" i="8" s="1"/>
  <c r="E4" i="8"/>
  <c r="F4" i="4"/>
  <c r="E4" i="7"/>
  <c r="Y6" i="7"/>
  <c r="Y10" i="7" s="1"/>
  <c r="Y6" i="8"/>
  <c r="Y12" i="8" s="1"/>
  <c r="S6" i="8"/>
  <c r="S12" i="8" s="1"/>
  <c r="S6" i="7"/>
  <c r="S10" i="7" s="1"/>
  <c r="C8" i="7"/>
  <c r="C9" i="7" s="1"/>
  <c r="G4" i="3"/>
  <c r="H4" i="3" s="1"/>
  <c r="I4" i="3" s="1"/>
  <c r="G6" i="2" l="1"/>
  <c r="G9" i="2" s="1"/>
  <c r="G3" i="3" s="1"/>
  <c r="G5" i="3" s="1"/>
  <c r="E5" i="8"/>
  <c r="E7" i="8" s="1"/>
  <c r="C12" i="7"/>
  <c r="C3" i="9" s="1"/>
  <c r="C4" i="9" s="1"/>
  <c r="D7" i="8"/>
  <c r="F3" i="4"/>
  <c r="F5" i="4" s="1"/>
  <c r="F3" i="8"/>
  <c r="F3" i="7"/>
  <c r="F4" i="8"/>
  <c r="F4" i="7"/>
  <c r="G4" i="4"/>
  <c r="E5" i="7"/>
  <c r="E7" i="7" s="1"/>
  <c r="E8" i="7" s="1"/>
  <c r="E9" i="7" s="1"/>
  <c r="E12" i="7" s="1"/>
  <c r="E3" i="9" s="1"/>
  <c r="H6" i="9"/>
  <c r="J4" i="3"/>
  <c r="F5" i="7" l="1"/>
  <c r="F7" i="7" s="1"/>
  <c r="F8" i="7" s="1"/>
  <c r="F9" i="7" s="1"/>
  <c r="H6" i="2"/>
  <c r="I6" i="2" s="1"/>
  <c r="D3" i="9"/>
  <c r="D4" i="9" s="1"/>
  <c r="E4" i="9" s="1"/>
  <c r="C8" i="9"/>
  <c r="F5" i="8"/>
  <c r="F7" i="8" s="1"/>
  <c r="G3" i="4"/>
  <c r="G5" i="4" s="1"/>
  <c r="G3" i="8"/>
  <c r="G3" i="7"/>
  <c r="H4" i="4"/>
  <c r="G4" i="7"/>
  <c r="G4" i="8"/>
  <c r="E10" i="6"/>
  <c r="F4" i="6" s="1"/>
  <c r="D11" i="6"/>
  <c r="D8" i="8"/>
  <c r="D9" i="8"/>
  <c r="D10" i="8" s="1"/>
  <c r="D11" i="8" s="1"/>
  <c r="D15" i="8" s="1"/>
  <c r="I6" i="9"/>
  <c r="K4" i="3"/>
  <c r="J6" i="2"/>
  <c r="I9" i="2"/>
  <c r="I3" i="3" s="1"/>
  <c r="I5" i="3" s="1"/>
  <c r="D8" i="9" l="1"/>
  <c r="E8" i="9" s="1"/>
  <c r="H9" i="2"/>
  <c r="H3" i="3" s="1"/>
  <c r="H5" i="3" s="1"/>
  <c r="H3" i="4" s="1"/>
  <c r="H5" i="4" s="1"/>
  <c r="F12" i="7"/>
  <c r="F3" i="9" s="1"/>
  <c r="F7" i="9" s="1"/>
  <c r="G5" i="7"/>
  <c r="G7" i="7" s="1"/>
  <c r="G8" i="7" s="1"/>
  <c r="G9" i="7" s="1"/>
  <c r="G12" i="7" s="1"/>
  <c r="G3" i="9" s="1"/>
  <c r="G7" i="9" s="1"/>
  <c r="G5" i="8"/>
  <c r="G7" i="8" s="1"/>
  <c r="I4" i="4"/>
  <c r="H4" i="7"/>
  <c r="H4" i="8"/>
  <c r="H3" i="8"/>
  <c r="H5" i="8" s="1"/>
  <c r="H7" i="8" s="1"/>
  <c r="H3" i="7"/>
  <c r="F10" i="6"/>
  <c r="G4" i="6" s="1"/>
  <c r="I3" i="4"/>
  <c r="I3" i="8"/>
  <c r="I3" i="7"/>
  <c r="E8" i="8"/>
  <c r="E9" i="8" s="1"/>
  <c r="E10" i="8" s="1"/>
  <c r="E11" i="8" s="1"/>
  <c r="E15" i="8" s="1"/>
  <c r="E11" i="6"/>
  <c r="J6" i="9"/>
  <c r="L4" i="3"/>
  <c r="K6" i="2"/>
  <c r="J9" i="2"/>
  <c r="J3" i="3" s="1"/>
  <c r="J5" i="3" s="1"/>
  <c r="F8" i="9" l="1"/>
  <c r="G8" i="9" s="1"/>
  <c r="F4" i="9"/>
  <c r="G4" i="9" s="1"/>
  <c r="I5" i="4"/>
  <c r="H5" i="7"/>
  <c r="H7" i="7" s="1"/>
  <c r="H8" i="7" s="1"/>
  <c r="H9" i="7" s="1"/>
  <c r="H12" i="7" s="1"/>
  <c r="H3" i="9" s="1"/>
  <c r="H7" i="9" s="1"/>
  <c r="F11" i="6"/>
  <c r="F8" i="8"/>
  <c r="F9" i="8" s="1"/>
  <c r="F10" i="8" s="1"/>
  <c r="F11" i="8" s="1"/>
  <c r="F15" i="8" s="1"/>
  <c r="J3" i="4"/>
  <c r="J3" i="7"/>
  <c r="J3" i="8"/>
  <c r="G8" i="6"/>
  <c r="G10" i="6"/>
  <c r="H4" i="6" s="1"/>
  <c r="J4" i="4"/>
  <c r="I4" i="8"/>
  <c r="I5" i="8" s="1"/>
  <c r="I7" i="8" s="1"/>
  <c r="I4" i="7"/>
  <c r="I5" i="7" s="1"/>
  <c r="I7" i="7" s="1"/>
  <c r="I8" i="7" s="1"/>
  <c r="I9" i="7" s="1"/>
  <c r="I12" i="7" s="1"/>
  <c r="I3" i="9" s="1"/>
  <c r="I7" i="9" s="1"/>
  <c r="K6" i="9"/>
  <c r="M4" i="3"/>
  <c r="L6" i="2"/>
  <c r="K9" i="2"/>
  <c r="K3" i="3" s="1"/>
  <c r="K5" i="3" s="1"/>
  <c r="H4" i="9" l="1"/>
  <c r="I4" i="9" s="1"/>
  <c r="H8" i="9"/>
  <c r="I8" i="9" s="1"/>
  <c r="K3" i="4"/>
  <c r="K3" i="7"/>
  <c r="K3" i="8"/>
  <c r="H10" i="6"/>
  <c r="I4" i="6" s="1"/>
  <c r="H8" i="6"/>
  <c r="G11" i="6"/>
  <c r="G8" i="8"/>
  <c r="G9" i="8" s="1"/>
  <c r="K4" i="4"/>
  <c r="J4" i="8"/>
  <c r="J5" i="8" s="1"/>
  <c r="J7" i="8" s="1"/>
  <c r="J4" i="7"/>
  <c r="J5" i="7" s="1"/>
  <c r="J7" i="7" s="1"/>
  <c r="J8" i="7" s="1"/>
  <c r="J9" i="7" s="1"/>
  <c r="J12" i="7" s="1"/>
  <c r="J3" i="9" s="1"/>
  <c r="J7" i="9" s="1"/>
  <c r="J5" i="4"/>
  <c r="L6" i="9"/>
  <c r="N4" i="3"/>
  <c r="M6" i="2"/>
  <c r="L9" i="2"/>
  <c r="L3" i="3" s="1"/>
  <c r="L5" i="3" s="1"/>
  <c r="J4" i="9" l="1"/>
  <c r="J8" i="9"/>
  <c r="L3" i="4"/>
  <c r="L3" i="7"/>
  <c r="L3" i="8"/>
  <c r="G10" i="8"/>
  <c r="G11" i="8" s="1"/>
  <c r="G15" i="8" s="1"/>
  <c r="I10" i="6"/>
  <c r="J4" i="6" s="1"/>
  <c r="I8" i="6"/>
  <c r="L4" i="4"/>
  <c r="K4" i="7"/>
  <c r="K5" i="7" s="1"/>
  <c r="K7" i="7" s="1"/>
  <c r="K8" i="7" s="1"/>
  <c r="K9" i="7" s="1"/>
  <c r="K12" i="7" s="1"/>
  <c r="K3" i="9" s="1"/>
  <c r="K4" i="8"/>
  <c r="K5" i="8" s="1"/>
  <c r="K7" i="8" s="1"/>
  <c r="K5" i="4"/>
  <c r="H11" i="6"/>
  <c r="H8" i="8"/>
  <c r="H9" i="8" s="1"/>
  <c r="M6" i="9"/>
  <c r="O4" i="3"/>
  <c r="N6" i="2"/>
  <c r="M9" i="2"/>
  <c r="M3" i="3" s="1"/>
  <c r="M5" i="3" s="1"/>
  <c r="L5" i="4" l="1"/>
  <c r="K4" i="9"/>
  <c r="K7" i="9"/>
  <c r="K8" i="9" s="1"/>
  <c r="I11" i="6"/>
  <c r="I8" i="8"/>
  <c r="I9" i="8" s="1"/>
  <c r="I10" i="8" s="1"/>
  <c r="I11" i="8" s="1"/>
  <c r="I15" i="8" s="1"/>
  <c r="H10" i="8"/>
  <c r="H11" i="8"/>
  <c r="H15" i="8" s="1"/>
  <c r="J10" i="6"/>
  <c r="K4" i="6" s="1"/>
  <c r="J8" i="6"/>
  <c r="M3" i="4"/>
  <c r="M3" i="8"/>
  <c r="M3" i="7"/>
  <c r="M4" i="4"/>
  <c r="L4" i="7"/>
  <c r="L5" i="7" s="1"/>
  <c r="L7" i="7" s="1"/>
  <c r="L8" i="7" s="1"/>
  <c r="L9" i="7" s="1"/>
  <c r="L12" i="7" s="1"/>
  <c r="L3" i="9" s="1"/>
  <c r="L7" i="9" s="1"/>
  <c r="L4" i="8"/>
  <c r="L5" i="8" s="1"/>
  <c r="L7" i="8" s="1"/>
  <c r="N6" i="9"/>
  <c r="P4" i="3"/>
  <c r="O6" i="2"/>
  <c r="N9" i="2"/>
  <c r="N3" i="3" s="1"/>
  <c r="N5" i="3" s="1"/>
  <c r="L8" i="9" l="1"/>
  <c r="L4" i="9"/>
  <c r="J11" i="6"/>
  <c r="J8" i="8"/>
  <c r="J9" i="8" s="1"/>
  <c r="J10" i="8" s="1"/>
  <c r="J11" i="8" s="1"/>
  <c r="J15" i="8" s="1"/>
  <c r="N4" i="4"/>
  <c r="M4" i="8"/>
  <c r="M5" i="8" s="1"/>
  <c r="M7" i="8" s="1"/>
  <c r="M4" i="7"/>
  <c r="M5" i="7" s="1"/>
  <c r="M7" i="7" s="1"/>
  <c r="M8" i="7" s="1"/>
  <c r="M9" i="7" s="1"/>
  <c r="M12" i="7" s="1"/>
  <c r="M3" i="9" s="1"/>
  <c r="M7" i="9" s="1"/>
  <c r="N3" i="4"/>
  <c r="N3" i="8"/>
  <c r="N3" i="7"/>
  <c r="K10" i="6"/>
  <c r="L4" i="6" s="1"/>
  <c r="K8" i="6"/>
  <c r="M5" i="4"/>
  <c r="O6" i="9"/>
  <c r="Q4" i="3"/>
  <c r="P6" i="2"/>
  <c r="O9" i="2"/>
  <c r="O3" i="3" s="1"/>
  <c r="O5" i="3" s="1"/>
  <c r="N5" i="4" l="1"/>
  <c r="M8" i="9"/>
  <c r="M4" i="9"/>
  <c r="O3" i="4"/>
  <c r="O3" i="8"/>
  <c r="O3" i="7"/>
  <c r="O4" i="4"/>
  <c r="N4" i="8"/>
  <c r="N5" i="8" s="1"/>
  <c r="N7" i="8" s="1"/>
  <c r="N4" i="7"/>
  <c r="N5" i="7" s="1"/>
  <c r="N7" i="7" s="1"/>
  <c r="N8" i="7" s="1"/>
  <c r="N9" i="7" s="1"/>
  <c r="N12" i="7" s="1"/>
  <c r="N3" i="9" s="1"/>
  <c r="N7" i="9" s="1"/>
  <c r="K11" i="6"/>
  <c r="K8" i="8"/>
  <c r="K9" i="8" s="1"/>
  <c r="K10" i="8" s="1"/>
  <c r="K11" i="8" s="1"/>
  <c r="K15" i="8" s="1"/>
  <c r="L10" i="6"/>
  <c r="M4" i="6" s="1"/>
  <c r="L8" i="6"/>
  <c r="P6" i="9"/>
  <c r="R4" i="3"/>
  <c r="Q6" i="2"/>
  <c r="P9" i="2"/>
  <c r="P3" i="3" s="1"/>
  <c r="P5" i="3" s="1"/>
  <c r="N8" i="9" l="1"/>
  <c r="N4" i="9"/>
  <c r="P4" i="4"/>
  <c r="O4" i="7"/>
  <c r="O5" i="7" s="1"/>
  <c r="O7" i="7" s="1"/>
  <c r="O8" i="7" s="1"/>
  <c r="O9" i="7" s="1"/>
  <c r="O12" i="7" s="1"/>
  <c r="O3" i="9" s="1"/>
  <c r="O7" i="9" s="1"/>
  <c r="O4" i="8"/>
  <c r="P3" i="4"/>
  <c r="P5" i="4" s="1"/>
  <c r="P3" i="8"/>
  <c r="P3" i="7"/>
  <c r="M8" i="6"/>
  <c r="M10" i="6"/>
  <c r="N4" i="6" s="1"/>
  <c r="O5" i="4"/>
  <c r="L11" i="6"/>
  <c r="L8" i="8"/>
  <c r="L9" i="8" s="1"/>
  <c r="O5" i="8"/>
  <c r="O7" i="8" s="1"/>
  <c r="Q6" i="9"/>
  <c r="S4" i="3"/>
  <c r="R6" i="2"/>
  <c r="Q9" i="2"/>
  <c r="Q3" i="3" s="1"/>
  <c r="Q5" i="3" s="1"/>
  <c r="O8" i="9" l="1"/>
  <c r="O4" i="9"/>
  <c r="M11" i="6"/>
  <c r="M8" i="8"/>
  <c r="M9" i="8" s="1"/>
  <c r="Q3" i="4"/>
  <c r="Q5" i="4" s="1"/>
  <c r="Q3" i="8"/>
  <c r="Q3" i="7"/>
  <c r="L10" i="8"/>
  <c r="L11" i="8" s="1"/>
  <c r="L15" i="8" s="1"/>
  <c r="Q4" i="4"/>
  <c r="P4" i="7"/>
  <c r="P5" i="7" s="1"/>
  <c r="P7" i="7" s="1"/>
  <c r="P8" i="7" s="1"/>
  <c r="P9" i="7" s="1"/>
  <c r="P12" i="7" s="1"/>
  <c r="P3" i="9" s="1"/>
  <c r="P7" i="9" s="1"/>
  <c r="P4" i="8"/>
  <c r="P5" i="8" s="1"/>
  <c r="P7" i="8" s="1"/>
  <c r="N8" i="6"/>
  <c r="N10" i="6"/>
  <c r="O4" i="6" s="1"/>
  <c r="R6" i="9"/>
  <c r="T4" i="3"/>
  <c r="S6" i="2"/>
  <c r="R9" i="2"/>
  <c r="R3" i="3" s="1"/>
  <c r="R5" i="3" s="1"/>
  <c r="P8" i="9" l="1"/>
  <c r="P4" i="9"/>
  <c r="R3" i="4"/>
  <c r="R3" i="7"/>
  <c r="R3" i="8"/>
  <c r="O10" i="6"/>
  <c r="P4" i="6" s="1"/>
  <c r="O8" i="6"/>
  <c r="N11" i="6"/>
  <c r="N8" i="8"/>
  <c r="N9" i="8" s="1"/>
  <c r="N10" i="8" s="1"/>
  <c r="N11" i="8" s="1"/>
  <c r="N15" i="8" s="1"/>
  <c r="R4" i="4"/>
  <c r="Q4" i="7"/>
  <c r="Q5" i="7" s="1"/>
  <c r="Q7" i="7" s="1"/>
  <c r="Q8" i="7" s="1"/>
  <c r="Q9" i="7" s="1"/>
  <c r="Q12" i="7" s="1"/>
  <c r="Q3" i="9" s="1"/>
  <c r="Q7" i="9" s="1"/>
  <c r="Q8" i="9" s="1"/>
  <c r="Q4" i="8"/>
  <c r="Q5" i="8" s="1"/>
  <c r="Q7" i="8" s="1"/>
  <c r="M10" i="8"/>
  <c r="M11" i="8" s="1"/>
  <c r="M15" i="8" s="1"/>
  <c r="S6" i="9"/>
  <c r="U4" i="3"/>
  <c r="T6" i="2"/>
  <c r="S9" i="2"/>
  <c r="S3" i="3" s="1"/>
  <c r="S5" i="3" s="1"/>
  <c r="Q4" i="9" l="1"/>
  <c r="S3" i="4"/>
  <c r="S3" i="7"/>
  <c r="S3" i="8"/>
  <c r="O11" i="6"/>
  <c r="O8" i="8"/>
  <c r="O9" i="8" s="1"/>
  <c r="O10" i="8" s="1"/>
  <c r="O11" i="8" s="1"/>
  <c r="O15" i="8" s="1"/>
  <c r="P10" i="6"/>
  <c r="Q4" i="6" s="1"/>
  <c r="P8" i="6"/>
  <c r="R5" i="4"/>
  <c r="S4" i="4"/>
  <c r="R4" i="8"/>
  <c r="R5" i="8" s="1"/>
  <c r="R7" i="8" s="1"/>
  <c r="R4" i="7"/>
  <c r="R5" i="7" s="1"/>
  <c r="T6" i="9"/>
  <c r="V4" i="3"/>
  <c r="U6" i="2"/>
  <c r="T9" i="2"/>
  <c r="T3" i="3" s="1"/>
  <c r="T5" i="3" s="1"/>
  <c r="S5" i="4" l="1"/>
  <c r="R8" i="7"/>
  <c r="R9" i="7" s="1"/>
  <c r="R12" i="7" s="1"/>
  <c r="R3" i="9" s="1"/>
  <c r="R7" i="9" s="1"/>
  <c r="R8" i="9" s="1"/>
  <c r="Q10" i="6"/>
  <c r="R4" i="6" s="1"/>
  <c r="Q8" i="6"/>
  <c r="S5" i="7"/>
  <c r="S7" i="7" s="1"/>
  <c r="S8" i="7" s="1"/>
  <c r="S9" i="7" s="1"/>
  <c r="S12" i="7" s="1"/>
  <c r="S3" i="9" s="1"/>
  <c r="S7" i="9" s="1"/>
  <c r="T3" i="4"/>
  <c r="T3" i="8"/>
  <c r="T3" i="7"/>
  <c r="T4" i="4"/>
  <c r="S4" i="7"/>
  <c r="S4" i="8"/>
  <c r="S5" i="8"/>
  <c r="S7" i="8" s="1"/>
  <c r="S9" i="8" s="1"/>
  <c r="S10" i="8" s="1"/>
  <c r="S11" i="8" s="1"/>
  <c r="S15" i="8" s="1"/>
  <c r="P11" i="6"/>
  <c r="P8" i="8"/>
  <c r="P9" i="8" s="1"/>
  <c r="P10" i="8" s="1"/>
  <c r="P11" i="8" s="1"/>
  <c r="P15" i="8" s="1"/>
  <c r="U6" i="9"/>
  <c r="W4" i="3"/>
  <c r="V6" i="2"/>
  <c r="U9" i="2"/>
  <c r="U3" i="3" s="1"/>
  <c r="U5" i="3" s="1"/>
  <c r="R4" i="9" l="1"/>
  <c r="S4" i="9" s="1"/>
  <c r="S8" i="9"/>
  <c r="T5" i="4"/>
  <c r="U4" i="4"/>
  <c r="T4" i="7"/>
  <c r="T5" i="7" s="1"/>
  <c r="T7" i="7" s="1"/>
  <c r="T8" i="7" s="1"/>
  <c r="T9" i="7" s="1"/>
  <c r="T12" i="7" s="1"/>
  <c r="T3" i="9" s="1"/>
  <c r="T7" i="9" s="1"/>
  <c r="T4" i="8"/>
  <c r="T5" i="8" s="1"/>
  <c r="T7" i="8" s="1"/>
  <c r="T9" i="8" s="1"/>
  <c r="Q11" i="6"/>
  <c r="Q8" i="8"/>
  <c r="Q9" i="8" s="1"/>
  <c r="Q10" i="8" s="1"/>
  <c r="Q11" i="8" s="1"/>
  <c r="Q15" i="8" s="1"/>
  <c r="R10" i="6"/>
  <c r="R8" i="6"/>
  <c r="U3" i="4"/>
  <c r="U3" i="8"/>
  <c r="U3" i="7"/>
  <c r="V6" i="9"/>
  <c r="X4" i="3"/>
  <c r="W6" i="2"/>
  <c r="V9" i="2"/>
  <c r="V3" i="3" s="1"/>
  <c r="V5" i="3" s="1"/>
  <c r="T4" i="9" l="1"/>
  <c r="T8" i="9"/>
  <c r="T10" i="8"/>
  <c r="T11" i="8" s="1"/>
  <c r="T15" i="8" s="1"/>
  <c r="V4" i="4"/>
  <c r="U4" i="8"/>
  <c r="U5" i="8" s="1"/>
  <c r="U7" i="8" s="1"/>
  <c r="U9" i="8" s="1"/>
  <c r="U10" i="8" s="1"/>
  <c r="U11" i="8" s="1"/>
  <c r="U15" i="8" s="1"/>
  <c r="U4" i="7"/>
  <c r="U5" i="7" s="1"/>
  <c r="U7" i="7" s="1"/>
  <c r="U5" i="4"/>
  <c r="V3" i="4"/>
  <c r="V3" i="7"/>
  <c r="V3" i="8"/>
  <c r="R11" i="6"/>
  <c r="R8" i="8"/>
  <c r="R9" i="8" s="1"/>
  <c r="W6" i="9"/>
  <c r="Y4" i="3"/>
  <c r="X6" i="2"/>
  <c r="W9" i="2"/>
  <c r="W3" i="3" s="1"/>
  <c r="W5" i="3" s="1"/>
  <c r="V5" i="4" l="1"/>
  <c r="U8" i="7"/>
  <c r="U9" i="7" s="1"/>
  <c r="U12" i="7" s="1"/>
  <c r="U3" i="9" s="1"/>
  <c r="W4" i="4"/>
  <c r="V4" i="8"/>
  <c r="V5" i="8" s="1"/>
  <c r="V7" i="8" s="1"/>
  <c r="V9" i="8" s="1"/>
  <c r="V10" i="8" s="1"/>
  <c r="V11" i="8" s="1"/>
  <c r="V15" i="8" s="1"/>
  <c r="V4" i="7"/>
  <c r="V5" i="7" s="1"/>
  <c r="V7" i="7" s="1"/>
  <c r="V8" i="7" s="1"/>
  <c r="V9" i="7" s="1"/>
  <c r="V12" i="7" s="1"/>
  <c r="V3" i="9" s="1"/>
  <c r="V7" i="9" s="1"/>
  <c r="R10" i="8"/>
  <c r="R11" i="8" s="1"/>
  <c r="R15" i="8" s="1"/>
  <c r="W3" i="4"/>
  <c r="W3" i="8"/>
  <c r="W3" i="7"/>
  <c r="X6" i="9"/>
  <c r="Z4" i="3"/>
  <c r="Y6" i="2"/>
  <c r="X9" i="2"/>
  <c r="X3" i="3" s="1"/>
  <c r="X5" i="3" s="1"/>
  <c r="U7" i="9" l="1"/>
  <c r="U8" i="9" s="1"/>
  <c r="V8" i="9" s="1"/>
  <c r="U4" i="9"/>
  <c r="V4" i="9" s="1"/>
  <c r="X4" i="4"/>
  <c r="W4" i="7"/>
  <c r="W5" i="7" s="1"/>
  <c r="W7" i="7" s="1"/>
  <c r="W8" i="7" s="1"/>
  <c r="W9" i="7" s="1"/>
  <c r="W12" i="7" s="1"/>
  <c r="W3" i="9" s="1"/>
  <c r="W7" i="9" s="1"/>
  <c r="W4" i="8"/>
  <c r="W5" i="8" s="1"/>
  <c r="W7" i="8" s="1"/>
  <c r="W9" i="8" s="1"/>
  <c r="X3" i="4"/>
  <c r="X3" i="8"/>
  <c r="X3" i="7"/>
  <c r="W5" i="4"/>
  <c r="Y6" i="9"/>
  <c r="AA4" i="3"/>
  <c r="Z6" i="2"/>
  <c r="Y9" i="2"/>
  <c r="Y3" i="3" s="1"/>
  <c r="Y5" i="3" s="1"/>
  <c r="W4" i="9" l="1"/>
  <c r="X5" i="4"/>
  <c r="W8" i="9"/>
  <c r="Y3" i="4"/>
  <c r="Y3" i="8"/>
  <c r="Y3" i="7"/>
  <c r="W10" i="8"/>
  <c r="W11" i="8" s="1"/>
  <c r="W15" i="8" s="1"/>
  <c r="Y4" i="4"/>
  <c r="X4" i="7"/>
  <c r="X5" i="7" s="1"/>
  <c r="X7" i="7" s="1"/>
  <c r="X8" i="7" s="1"/>
  <c r="X9" i="7" s="1"/>
  <c r="X12" i="7" s="1"/>
  <c r="X3" i="9" s="1"/>
  <c r="X7" i="9" s="1"/>
  <c r="X4" i="8"/>
  <c r="X5" i="8" s="1"/>
  <c r="X7" i="8" s="1"/>
  <c r="X9" i="8" s="1"/>
  <c r="Z6" i="9"/>
  <c r="AB4" i="3"/>
  <c r="AB5" i="3" s="1"/>
  <c r="AA6" i="2"/>
  <c r="Z9" i="2"/>
  <c r="Z3" i="3" s="1"/>
  <c r="Z5" i="3" s="1"/>
  <c r="X8" i="9" l="1"/>
  <c r="X4" i="9"/>
  <c r="Z4" i="4"/>
  <c r="Y4" i="8"/>
  <c r="Y4" i="7"/>
  <c r="Y5" i="7" s="1"/>
  <c r="Y7" i="7" s="1"/>
  <c r="X10" i="8"/>
  <c r="X11" i="8" s="1"/>
  <c r="X15" i="8" s="1"/>
  <c r="Y5" i="8"/>
  <c r="Y7" i="8" s="1"/>
  <c r="Y9" i="8" s="1"/>
  <c r="Y10" i="8" s="1"/>
  <c r="Y11" i="8" s="1"/>
  <c r="Y15" i="8" s="1"/>
  <c r="Z3" i="4"/>
  <c r="Z3" i="7"/>
  <c r="Z3" i="8"/>
  <c r="Y5" i="4"/>
  <c r="AA6" i="9"/>
  <c r="AB6" i="2"/>
  <c r="AB9" i="2" s="1"/>
  <c r="AB3" i="3" s="1"/>
  <c r="AA9" i="2"/>
  <c r="AA3" i="3" s="1"/>
  <c r="AA5" i="3" s="1"/>
  <c r="Z5" i="4" l="1"/>
  <c r="Y8" i="7"/>
  <c r="Y9" i="7" s="1"/>
  <c r="Y12" i="7" s="1"/>
  <c r="Y3" i="9" s="1"/>
  <c r="Y7" i="9" s="1"/>
  <c r="Y8" i="9" s="1"/>
  <c r="AA3" i="4"/>
  <c r="AA3" i="7"/>
  <c r="AA3" i="8"/>
  <c r="AB3" i="4"/>
  <c r="AB3" i="8"/>
  <c r="AB3" i="7"/>
  <c r="AA4" i="4"/>
  <c r="Z4" i="8"/>
  <c r="Z5" i="8" s="1"/>
  <c r="Z7" i="8" s="1"/>
  <c r="Z9" i="8" s="1"/>
  <c r="Z4" i="7"/>
  <c r="Z5" i="7" s="1"/>
  <c r="Z7" i="7" s="1"/>
  <c r="Z8" i="7" s="1"/>
  <c r="Z9" i="7" s="1"/>
  <c r="Z12" i="7" s="1"/>
  <c r="Z3" i="9" s="1"/>
  <c r="Z7" i="9" s="1"/>
  <c r="AB6" i="9"/>
  <c r="Y4" i="9" l="1"/>
  <c r="Z4" i="9" s="1"/>
  <c r="Z8" i="9"/>
  <c r="AA4" i="7"/>
  <c r="AA5" i="7" s="1"/>
  <c r="AA7" i="7" s="1"/>
  <c r="AA8" i="7" s="1"/>
  <c r="AA9" i="7" s="1"/>
  <c r="AA12" i="7" s="1"/>
  <c r="AA3" i="9" s="1"/>
  <c r="AA7" i="9" s="1"/>
  <c r="AB4" i="4"/>
  <c r="AA4" i="8"/>
  <c r="AA5" i="8" s="1"/>
  <c r="AA7" i="8" s="1"/>
  <c r="AA9" i="8" s="1"/>
  <c r="AA5" i="4"/>
  <c r="Z10" i="8"/>
  <c r="Z11" i="8" s="1"/>
  <c r="Z15" i="8" s="1"/>
  <c r="AA4" i="9" l="1"/>
  <c r="AA8" i="9"/>
  <c r="AB4" i="7"/>
  <c r="AB5" i="7" s="1"/>
  <c r="AB4" i="8"/>
  <c r="AB5" i="8" s="1"/>
  <c r="AB7" i="8" s="1"/>
  <c r="AB9" i="8" s="1"/>
  <c r="AA10" i="8"/>
  <c r="AA11" i="8" s="1"/>
  <c r="AA15" i="8" s="1"/>
  <c r="AB12" i="7" l="1"/>
  <c r="AB3" i="9" s="1"/>
  <c r="AB4" i="9" s="1"/>
  <c r="AB10" i="8"/>
  <c r="AB11" i="8" s="1"/>
  <c r="AB15" i="8" s="1"/>
  <c r="C6" i="10" l="1"/>
  <c r="AB7" i="9"/>
  <c r="AB8" i="9" s="1"/>
  <c r="C5" i="10" s="1"/>
  <c r="C10" i="10" l="1"/>
</calcChain>
</file>

<file path=xl/sharedStrings.xml><?xml version="1.0" encoding="utf-8"?>
<sst xmlns="http://schemas.openxmlformats.org/spreadsheetml/2006/main" count="500" uniqueCount="175">
  <si>
    <t>Operation period</t>
  </si>
  <si>
    <t>Construction period</t>
  </si>
  <si>
    <t>Project lifetime</t>
  </si>
  <si>
    <t>Installed capacity</t>
  </si>
  <si>
    <t>Parameter</t>
  </si>
  <si>
    <t>Value</t>
  </si>
  <si>
    <t>Unit</t>
  </si>
  <si>
    <t xml:space="preserve"> year</t>
  </si>
  <si>
    <t>year</t>
  </si>
  <si>
    <t>Capacity factor</t>
  </si>
  <si>
    <t>CAPEX</t>
  </si>
  <si>
    <t>OPEX</t>
  </si>
  <si>
    <t>Degradation</t>
  </si>
  <si>
    <t>Inflation</t>
  </si>
  <si>
    <t xml:space="preserve">Project type </t>
  </si>
  <si>
    <t xml:space="preserve">Utility-scale solar PV </t>
  </si>
  <si>
    <t>Source</t>
  </si>
  <si>
    <t>%</t>
  </si>
  <si>
    <t>https://www.solardataatlas.com/en/data-solar-capex-europe</t>
  </si>
  <si>
    <t>https://www.solardataatlas.com/en/data-solar-opex-europe</t>
  </si>
  <si>
    <t>Notes</t>
  </si>
  <si>
    <t>Solar Panel Degradation Rates - Greensolver</t>
  </si>
  <si>
    <t>https://www.solardataatlas.com/en/data-solar-ppa-prices-europe</t>
  </si>
  <si>
    <t>%/year</t>
  </si>
  <si>
    <t xml:space="preserve"> MWp</t>
  </si>
  <si>
    <t>€</t>
  </si>
  <si>
    <t>M€</t>
  </si>
  <si>
    <t>M€/year</t>
  </si>
  <si>
    <t>PPA electricity price</t>
  </si>
  <si>
    <t>France OPEX for utility-scale solar PV for the year 2026 : price range: 9 - 13 (€/Kwp/year) - HT
midpoint used as base case = 11 €/kWp/year</t>
  </si>
  <si>
    <t>France CAPEX for utility-scale solar PV for the year 2026 : price range: 750 - 950  (€/kWp) - HT
midpoint used as base case = 850 k€/kWp</t>
  </si>
  <si>
    <t>Project location</t>
  </si>
  <si>
    <t>France</t>
  </si>
  <si>
    <t>France PPA price range for the year 2026 price range: €50–68/MWh; 
midpoint used as base case = 59 €/MWh</t>
  </si>
  <si>
    <t>Average capacity factor for solar generation in France</t>
  </si>
  <si>
    <t>https://analysesetdonnees.rte-france.com/en/generation/solar</t>
  </si>
  <si>
    <t>https://www.banque-france.fr/fr/publications-et-statistiques/publications/quest-ce-que-la-politique-monetaire</t>
  </si>
  <si>
    <t>Assumption: 2% long-term inflation 
consistent with the ECB's medium-term inflation target</t>
  </si>
  <si>
    <t>1. Operational assumptions</t>
  </si>
  <si>
    <t>Corporate tax rate</t>
  </si>
  <si>
    <t>Impôt sur les sociétés |impots.gouv.fr</t>
  </si>
  <si>
    <t>Debt share</t>
  </si>
  <si>
    <t>Equity share</t>
  </si>
  <si>
    <t>N/A</t>
  </si>
  <si>
    <t>Debt tenor</t>
  </si>
  <si>
    <t>Cost of Equity</t>
  </si>
  <si>
    <t>WACC</t>
  </si>
  <si>
    <t>Discount rate</t>
  </si>
  <si>
    <t>Hurdle rate</t>
  </si>
  <si>
    <t>Solar WACC Europe 2026 | Solar Data Atlas</t>
  </si>
  <si>
    <t>Calculated</t>
  </si>
  <si>
    <t>Cost of Equity for solar PV utility-scale projects in France; range: 6 – 10%</t>
  </si>
  <si>
    <t>Cost of Debt for solar PV utility-scale projects in France; range: 1.5 – 3.0%</t>
  </si>
  <si>
    <t>Assumption for utility-scale solar PV projects</t>
  </si>
  <si>
    <t>Assumed equal to WACC for project DCF</t>
  </si>
  <si>
    <t>Risk premium</t>
  </si>
  <si>
    <t>Assumption for additional project risk</t>
  </si>
  <si>
    <t>WACC + project risk premium</t>
  </si>
  <si>
    <t>2. Financial assumptions</t>
  </si>
  <si>
    <t xml:space="preserve"> </t>
  </si>
  <si>
    <t>Paremeter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</si>
  <si>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</si>
  <si>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</si>
  <si>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</si>
  <si>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</si>
  <si>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</si>
  <si>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</si>
  <si>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</si>
  <si>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</si>
  <si>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</si>
  <si>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</si>
  <si>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</si>
  <si>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</si>
  <si>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</si>
  <si>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</si>
  <si>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</si>
  <si>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</si>
  <si>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</si>
  <si>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</si>
  <si>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</si>
  <si>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</si>
  <si>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</si>
  <si>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</si>
  <si>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</si>
  <si>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</si>
  <si>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</si>
  <si>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Year 0</t>
  </si>
  <si>
    <t>MWp</t>
  </si>
  <si>
    <t>h</t>
  </si>
  <si>
    <t>MWh</t>
  </si>
  <si>
    <t>Hours per year</t>
  </si>
  <si>
    <t>Capacity Factor</t>
  </si>
  <si>
    <t>Gross Annual Production</t>
  </si>
  <si>
    <t>Net Electricity Production</t>
  </si>
  <si>
    <r>
      <t>Installed Capacity</t>
    </r>
    <r>
      <rPr>
        <sz val="11"/>
        <color theme="1"/>
        <rFont val="Aptos Narrow"/>
        <family val="2"/>
        <scheme val="minor"/>
      </rPr>
      <t xml:space="preserve"> </t>
    </r>
  </si>
  <si>
    <t>System losses</t>
  </si>
  <si>
    <t>Annual Revenue</t>
  </si>
  <si>
    <t>€/MWh</t>
  </si>
  <si>
    <t xml:space="preserve">Degradation: the gradual loss of a solar panel's ability to produce electricity over time.
</t>
  </si>
  <si>
    <t>System losses: electricity lost during the operation and transmission of the PV system (e.g. wiring, inverter, soiling, shading, mismatch, etc.).</t>
  </si>
  <si>
    <t>CAPEX: Capital Expenditure is the upfront investment required to build and equip the solar project.</t>
  </si>
  <si>
    <t>Definitions:</t>
  </si>
  <si>
    <r>
      <t>OPEX:</t>
    </r>
    <r>
      <rPr>
        <sz val="11"/>
        <color theme="1" tint="0.499984740745262"/>
        <rFont val="Aptos Narrow"/>
        <family val="2"/>
        <scheme val="minor"/>
      </rPr>
      <t xml:space="preserve"> </t>
    </r>
    <r>
      <rPr>
        <i/>
        <sz val="11"/>
        <color theme="1" tint="0.499984740745262"/>
        <rFont val="Aptos Narrow"/>
        <family val="2"/>
        <scheme val="minor"/>
      </rPr>
      <t>Operating Expenditure represents the recurring costs required to operate and maintain the solar project.</t>
    </r>
  </si>
  <si>
    <t>EBITDA: Earnings Before Interests Taxes Depreciation and Amortization. Measures the project's operating profitability .</t>
  </si>
  <si>
    <t>EBITDA</t>
  </si>
  <si>
    <t>Depreciation is the accounting allocation of an asset's cost over its useful life.</t>
  </si>
  <si>
    <t>Depreciation period</t>
  </si>
  <si>
    <t>Depreciation rate</t>
  </si>
  <si>
    <t>Annual depreciation</t>
  </si>
  <si>
    <t>Accumulated depreciation</t>
  </si>
  <si>
    <t>Book Value</t>
  </si>
  <si>
    <t>Depreciation method</t>
  </si>
  <si>
    <t>straight-line</t>
  </si>
  <si>
    <t>Initial Equity</t>
  </si>
  <si>
    <t>Interest expense</t>
  </si>
  <si>
    <t>Principal repayment</t>
  </si>
  <si>
    <t>Debt service</t>
  </si>
  <si>
    <t>Interest rate</t>
  </si>
  <si>
    <t>Cost of Debt (Interest rate)</t>
  </si>
  <si>
    <t>Closing Debt Balance</t>
  </si>
  <si>
    <t>Opening Debt Balance</t>
  </si>
  <si>
    <t>Depreciation</t>
  </si>
  <si>
    <t>EBIT</t>
  </si>
  <si>
    <t>Interest Expense</t>
  </si>
  <si>
    <t>EBT</t>
  </si>
  <si>
    <t>Corporate Tax</t>
  </si>
  <si>
    <t>Net Income</t>
  </si>
  <si>
    <t>Net Cash Flow</t>
  </si>
  <si>
    <t>Principal Repayment</t>
  </si>
  <si>
    <t>Cash flow to equity = cash available to equity investors after debt payments.</t>
  </si>
  <si>
    <t xml:space="preserve">Definitions: </t>
  </si>
  <si>
    <r>
      <rPr>
        <b/>
        <i/>
        <sz val="11"/>
        <color theme="1" tint="0.499984740745262"/>
        <rFont val="Aptos Narrow"/>
        <family val="2"/>
        <scheme val="minor"/>
      </rPr>
      <t>EBIT:</t>
    </r>
    <r>
      <rPr>
        <i/>
        <sz val="11"/>
        <color theme="1" tint="0.499984740745262"/>
        <rFont val="Aptos Narrow"/>
        <family val="2"/>
        <scheme val="minor"/>
      </rPr>
      <t xml:space="preserve"> measures operating profit after depreciation and amortization but before interest and taxes.</t>
    </r>
  </si>
  <si>
    <r>
      <rPr>
        <b/>
        <i/>
        <sz val="11"/>
        <color theme="1" tint="0.499984740745262"/>
        <rFont val="Aptos Narrow"/>
        <family val="2"/>
        <scheme val="minor"/>
      </rPr>
      <t>EBT</t>
    </r>
    <r>
      <rPr>
        <i/>
        <sz val="11"/>
        <color theme="1" tint="0.499984740745262"/>
        <rFont val="Aptos Narrow"/>
        <family val="2"/>
        <scheme val="minor"/>
      </rPr>
      <t>: is profit before taxes after deducting interest expenses from EBIT.</t>
    </r>
  </si>
  <si>
    <r>
      <rPr>
        <b/>
        <i/>
        <sz val="11"/>
        <color theme="1" tint="0.499984740745262"/>
        <rFont val="Aptos Narrow"/>
        <family val="2"/>
        <scheme val="minor"/>
      </rPr>
      <t xml:space="preserve">Net Income: </t>
    </r>
    <r>
      <rPr>
        <i/>
        <sz val="11"/>
        <color theme="1" tint="0.499984740745262"/>
        <rFont val="Aptos Narrow"/>
        <family val="2"/>
        <scheme val="minor"/>
      </rPr>
      <t>is the profit remaining after operating costs, depreciation, interest and taxes.</t>
    </r>
  </si>
  <si>
    <r>
      <rPr>
        <b/>
        <i/>
        <sz val="11"/>
        <color theme="1" tint="0.499984740745262"/>
        <rFont val="Aptos Narrow"/>
        <family val="2"/>
        <scheme val="minor"/>
      </rPr>
      <t>Non-cash expense:</t>
    </r>
    <r>
      <rPr>
        <i/>
        <sz val="11"/>
        <color theme="1" tint="0.499984740745262"/>
        <rFont val="Aptos Narrow"/>
        <family val="2"/>
        <scheme val="minor"/>
      </rPr>
      <t xml:space="preserve"> reduces accounting profit without creating a cash outflow in the current period.</t>
    </r>
  </si>
  <si>
    <r>
      <rPr>
        <b/>
        <i/>
        <sz val="11"/>
        <color theme="1" tint="0.499984740745262"/>
        <rFont val="Aptos Narrow"/>
        <family val="2"/>
        <scheme val="minor"/>
      </rPr>
      <t xml:space="preserve">Cash Flow: </t>
    </r>
    <r>
      <rPr>
        <i/>
        <sz val="11"/>
        <color theme="1" tint="0.499984740745262"/>
        <rFont val="Aptos Narrow"/>
        <family val="2"/>
        <scheme val="minor"/>
      </rPr>
      <t>measures the actual cash generated or consumed by the project during a given period.</t>
    </r>
  </si>
  <si>
    <r>
      <rPr>
        <b/>
        <i/>
        <sz val="11"/>
        <color theme="1" tint="0.499984740745262"/>
        <rFont val="Aptos Narrow"/>
        <family val="2"/>
        <scheme val="minor"/>
      </rPr>
      <t>CAPEX:</t>
    </r>
    <r>
      <rPr>
        <i/>
        <sz val="11"/>
        <color theme="1" tint="0.499984740745262"/>
        <rFont val="Aptos Narrow"/>
        <family val="2"/>
        <scheme val="minor"/>
      </rPr>
      <t xml:space="preserve"> is the cash investment required to acquire or build long-term assets.
</t>
    </r>
  </si>
  <si>
    <r>
      <rPr>
        <b/>
        <i/>
        <sz val="11"/>
        <color theme="1" tint="0.499984740745262"/>
        <rFont val="Aptos Narrow"/>
        <family val="2"/>
        <scheme val="minor"/>
      </rPr>
      <t>Project / Unlevered Cash Flow:</t>
    </r>
    <r>
      <rPr>
        <i/>
        <sz val="11"/>
        <color theme="1" tint="0.499984740745262"/>
        <rFont val="Aptos Narrow"/>
        <family val="2"/>
        <scheme val="minor"/>
      </rPr>
      <t xml:space="preserve"> measures the cash generated by the project independently of its financing structure</t>
    </r>
  </si>
  <si>
    <r>
      <rPr>
        <b/>
        <i/>
        <sz val="11"/>
        <color theme="1" tint="0.499984740745262"/>
        <rFont val="Aptos Narrow"/>
        <family val="2"/>
        <scheme val="minor"/>
      </rPr>
      <t>Equity Cash Flow:</t>
    </r>
    <r>
      <rPr>
        <i/>
        <sz val="11"/>
        <color theme="1" tint="0.499984740745262"/>
        <rFont val="Aptos Narrow"/>
        <family val="2"/>
        <scheme val="minor"/>
      </rPr>
      <t xml:space="preserve"> measures the cash available to equity investors after debt-related cash flows.</t>
    </r>
  </si>
  <si>
    <t>NOPAT</t>
  </si>
  <si>
    <t>Unlevered Free Cash Flow</t>
  </si>
  <si>
    <r>
      <rPr>
        <b/>
        <i/>
        <sz val="11"/>
        <color theme="1" tint="0.499984740745262"/>
        <rFont val="Aptos Narrow"/>
        <family val="2"/>
        <scheme val="minor"/>
      </rPr>
      <t>Net Operating Profit After Tax:</t>
    </r>
    <r>
      <rPr>
        <i/>
        <sz val="11"/>
        <color theme="1" tint="0.499984740745262"/>
        <rFont val="Aptos Narrow"/>
        <family val="2"/>
        <scheme val="minor"/>
      </rPr>
      <t xml:space="preserve"> is the project's operating profit after tax, before financing effects.</t>
    </r>
  </si>
  <si>
    <r>
      <rPr>
        <b/>
        <i/>
        <sz val="11"/>
        <color theme="1" tint="0.499984740745262"/>
        <rFont val="Aptos Narrow"/>
        <family val="2"/>
        <scheme val="minor"/>
      </rPr>
      <t>Unlevered Free Cash Flow:</t>
    </r>
    <r>
      <rPr>
        <i/>
        <sz val="11"/>
        <color theme="1" tint="0.499984740745262"/>
        <rFont val="Aptos Narrow"/>
        <family val="2"/>
        <scheme val="minor"/>
      </rPr>
      <t xml:space="preserve"> is the cash generated by a project before considering debt financing and equity distributions.</t>
    </r>
  </si>
  <si>
    <r>
      <rPr>
        <b/>
        <i/>
        <sz val="11"/>
        <color theme="1" tint="0.499984740745262"/>
        <rFont val="Aptos Narrow"/>
        <family val="2"/>
        <scheme val="minor"/>
      </rPr>
      <t>Equity Cash Flow:</t>
    </r>
    <r>
      <rPr>
        <i/>
        <sz val="11"/>
        <color theme="1" tint="0.499984740745262"/>
        <rFont val="Aptos Narrow"/>
        <family val="2"/>
        <scheme val="minor"/>
      </rPr>
      <t xml:space="preserve"> is the cash available to equity investors after operating costs, taxes, capital expenditures and debt payments.</t>
    </r>
  </si>
  <si>
    <t>Discount Rate / WACC</t>
  </si>
  <si>
    <t>Discount Factor</t>
  </si>
  <si>
    <t>-</t>
  </si>
  <si>
    <t>Cumulative Present Value</t>
  </si>
  <si>
    <t>Discounted Cash Flow
(Present Value of UFCF)</t>
  </si>
  <si>
    <r>
      <rPr>
        <b/>
        <i/>
        <sz val="11"/>
        <color theme="1" tint="0.499984740745262"/>
        <rFont val="Aptos Narrow"/>
        <family val="2"/>
        <scheme val="minor"/>
      </rPr>
      <t xml:space="preserve">Discount Rate: </t>
    </r>
    <r>
      <rPr>
        <i/>
        <sz val="11"/>
        <color theme="1" tint="0.499984740745262"/>
        <rFont val="Aptos Narrow"/>
        <family val="2"/>
        <scheme val="minor"/>
      </rPr>
      <t>The rate used to convert future cash flows into their present value.</t>
    </r>
  </si>
  <si>
    <r>
      <rPr>
        <b/>
        <i/>
        <sz val="11"/>
        <color theme="1" tint="0.499984740745262"/>
        <rFont val="Aptos Narrow"/>
        <family val="2"/>
        <scheme val="minor"/>
      </rPr>
      <t>WACC:</t>
    </r>
    <r>
      <rPr>
        <i/>
        <sz val="11"/>
        <color theme="1" tint="0.499984740745262"/>
        <rFont val="Aptos Narrow"/>
        <family val="2"/>
        <scheme val="minor"/>
      </rPr>
      <t xml:space="preserve"> The weighted average cost of debt and equity used as the discount rate for unlevered cash flows.</t>
    </r>
  </si>
  <si>
    <r>
      <rPr>
        <b/>
        <i/>
        <sz val="11"/>
        <color theme="1" tint="0.499984740745262"/>
        <rFont val="Aptos Narrow"/>
        <family val="2"/>
        <scheme val="minor"/>
      </rPr>
      <t xml:space="preserve">Discount Factor: </t>
    </r>
    <r>
      <rPr>
        <i/>
        <sz val="11"/>
        <color theme="1" tint="0.499984740745262"/>
        <rFont val="Aptos Narrow"/>
        <family val="2"/>
        <scheme val="minor"/>
      </rPr>
      <t>A factor used to convert a future cash flow into its present value.</t>
    </r>
  </si>
  <si>
    <r>
      <rPr>
        <b/>
        <i/>
        <sz val="11"/>
        <color theme="1" tint="0.499984740745262"/>
        <rFont val="Aptos Narrow"/>
        <family val="2"/>
        <scheme val="minor"/>
      </rPr>
      <t>Present Value (PV):</t>
    </r>
    <r>
      <rPr>
        <i/>
        <sz val="11"/>
        <color theme="1" tint="0.499984740745262"/>
        <rFont val="Aptos Narrow"/>
        <family val="2"/>
        <scheme val="minor"/>
      </rPr>
      <t xml:space="preserve"> The value today of a future cash flow after applying the discount rate.</t>
    </r>
  </si>
  <si>
    <r>
      <rPr>
        <b/>
        <i/>
        <sz val="11"/>
        <color theme="1" tint="0.499984740745262"/>
        <rFont val="Aptos Narrow"/>
        <family val="2"/>
        <scheme val="minor"/>
      </rPr>
      <t>Discounted Cash Flow (DCF)</t>
    </r>
    <r>
      <rPr>
        <i/>
        <sz val="11"/>
        <color theme="1" tint="0.499984740745262"/>
        <rFont val="Aptos Narrow"/>
        <family val="2"/>
        <scheme val="minor"/>
      </rPr>
      <t>: A valuation method that estimates the value of an investment by discounting its future cash flows to the present.</t>
    </r>
  </si>
  <si>
    <r>
      <rPr>
        <b/>
        <i/>
        <sz val="11"/>
        <color theme="1" tint="0.499984740745262"/>
        <rFont val="Aptos Narrow"/>
        <family val="2"/>
        <scheme val="minor"/>
      </rPr>
      <t>NPV:</t>
    </r>
    <r>
      <rPr>
        <i/>
        <sz val="11"/>
        <color theme="1" tint="0.499984740745262"/>
        <rFont val="Aptos Narrow"/>
        <family val="2"/>
        <scheme val="minor"/>
      </rPr>
      <t xml:space="preserve"> The present value of all future cash flows minus the initial investment.</t>
    </r>
  </si>
  <si>
    <r>
      <rPr>
        <b/>
        <i/>
        <sz val="11"/>
        <color theme="1" tint="0.499984740745262"/>
        <rFont val="Aptos Narrow"/>
        <family val="2"/>
        <scheme val="minor"/>
      </rPr>
      <t>IRR:</t>
    </r>
    <r>
      <rPr>
        <i/>
        <sz val="11"/>
        <color theme="1" tint="0.499984740745262"/>
        <rFont val="Aptos Narrow"/>
        <family val="2"/>
        <scheme val="minor"/>
      </rPr>
      <t xml:space="preserve"> The discount rate at which the NPV of an investment equals zero.</t>
    </r>
  </si>
  <si>
    <t>Result</t>
  </si>
  <si>
    <t>Initial Investment</t>
  </si>
  <si>
    <t>Discount Rate</t>
  </si>
  <si>
    <t>NPV</t>
  </si>
  <si>
    <t>IRR</t>
  </si>
  <si>
    <t>Simple Payback Period</t>
  </si>
  <si>
    <t>Discounted Paybakc Period</t>
  </si>
  <si>
    <t>Profitability index</t>
  </si>
  <si>
    <t>years</t>
  </si>
  <si>
    <t>ROI</t>
  </si>
  <si>
    <r>
      <rPr>
        <b/>
        <i/>
        <sz val="11"/>
        <color theme="1" tint="0.499984740745262"/>
        <rFont val="Aptos Narrow"/>
        <family val="2"/>
        <scheme val="minor"/>
      </rPr>
      <t>Profitability Index</t>
    </r>
    <r>
      <rPr>
        <i/>
        <sz val="11"/>
        <color theme="1" tint="0.499984740745262"/>
        <rFont val="Aptos Narrow"/>
        <family val="2"/>
        <scheme val="minor"/>
      </rPr>
      <t>: measures how much present value is generated per €1 of initial investment.</t>
    </r>
  </si>
  <si>
    <t>Cumulative UFCF</t>
  </si>
  <si>
    <t>Unlevered Free Cash Flow (UFCF)</t>
  </si>
  <si>
    <r>
      <rPr>
        <b/>
        <i/>
        <sz val="11"/>
        <color theme="1" tint="0.499984740745262"/>
        <rFont val="Aptos Narrow"/>
        <family val="2"/>
        <scheme val="minor"/>
      </rPr>
      <t>Unlevered</t>
    </r>
    <r>
      <rPr>
        <i/>
        <sz val="11"/>
        <color theme="1" tint="0.499984740745262"/>
        <rFont val="Aptos Narrow"/>
        <family val="2"/>
        <scheme val="minor"/>
      </rPr>
      <t>: means that the impact of debt financing is excluded.</t>
    </r>
  </si>
  <si>
    <r>
      <rPr>
        <b/>
        <i/>
        <sz val="11"/>
        <color theme="1" tint="0.499984740745262"/>
        <rFont val="Aptos Narrow"/>
        <family val="2"/>
        <scheme val="minor"/>
      </rPr>
      <t>IRR</t>
    </r>
    <r>
      <rPr>
        <i/>
        <sz val="11"/>
        <color theme="1" tint="0.499984740745262"/>
        <rFont val="Aptos Narrow"/>
        <family val="2"/>
        <scheme val="minor"/>
      </rPr>
      <t>: is the discount rate at which the NPV of an investment equals zero.</t>
    </r>
  </si>
  <si>
    <r>
      <rPr>
        <b/>
        <i/>
        <sz val="11"/>
        <color theme="1" tint="0.499984740745262"/>
        <rFont val="Aptos Narrow"/>
        <family val="2"/>
        <scheme val="minor"/>
      </rPr>
      <t xml:space="preserve">ROI: </t>
    </r>
    <r>
      <rPr>
        <i/>
        <sz val="11"/>
        <color theme="1" tint="0.499984740745262"/>
        <rFont val="Aptos Narrow"/>
        <family val="2"/>
        <scheme val="minor"/>
      </rPr>
      <t>measures the return generated by an investment relative to the initial investment.</t>
    </r>
  </si>
  <si>
    <r>
      <rPr>
        <b/>
        <i/>
        <sz val="11"/>
        <color theme="1" tint="0.499984740745262"/>
        <rFont val="Aptos Narrow"/>
        <family val="2"/>
        <scheme val="minor"/>
      </rPr>
      <t>Payback Period:</t>
    </r>
    <r>
      <rPr>
        <i/>
        <sz val="11"/>
        <color theme="1" tint="0.499984740745262"/>
        <rFont val="Aptos Narrow"/>
        <family val="2"/>
        <scheme val="minor"/>
      </rPr>
      <t xml:space="preserve"> is the time required for a project to recover its initial investment from its cash flows.</t>
    </r>
  </si>
  <si>
    <r>
      <rPr>
        <b/>
        <i/>
        <sz val="11"/>
        <color theme="1" tint="0.499984740745262"/>
        <rFont val="Aptos Narrow"/>
        <family val="2"/>
        <scheme val="minor"/>
      </rPr>
      <t>Simple Payback Period:</t>
    </r>
    <r>
      <rPr>
        <i/>
        <sz val="11"/>
        <color theme="1" tint="0.499984740745262"/>
        <rFont val="Aptos Narrow"/>
        <family val="2"/>
        <scheme val="minor"/>
      </rPr>
      <t xml:space="preserve"> measures the time needed to recover the initial investment using </t>
    </r>
    <r>
      <rPr>
        <b/>
        <i/>
        <sz val="11"/>
        <color theme="1" tint="0.499984740745262"/>
        <rFont val="Aptos Narrow"/>
        <family val="2"/>
        <scheme val="minor"/>
      </rPr>
      <t>undiscounted</t>
    </r>
    <r>
      <rPr>
        <i/>
        <sz val="11"/>
        <color theme="1" tint="0.499984740745262"/>
        <rFont val="Aptos Narrow"/>
        <family val="2"/>
        <scheme val="minor"/>
      </rPr>
      <t xml:space="preserve"> cash flows.</t>
    </r>
  </si>
  <si>
    <r>
      <rPr>
        <b/>
        <i/>
        <sz val="11"/>
        <color theme="1" tint="0.499984740745262"/>
        <rFont val="Aptos Narrow"/>
        <family val="2"/>
        <scheme val="minor"/>
      </rPr>
      <t>Discounted Payback Period:</t>
    </r>
    <r>
      <rPr>
        <i/>
        <sz val="11"/>
        <color theme="1" tint="0.499984740745262"/>
        <rFont val="Aptos Narrow"/>
        <family val="2"/>
        <scheme val="minor"/>
      </rPr>
      <t xml:space="preserve"> measures the time needed to recover the initial investment using </t>
    </r>
    <r>
      <rPr>
        <b/>
        <i/>
        <sz val="11"/>
        <color theme="1" tint="0.499984740745262"/>
        <rFont val="Aptos Narrow"/>
        <family val="2"/>
        <scheme val="minor"/>
      </rPr>
      <t>discounted</t>
    </r>
    <r>
      <rPr>
        <i/>
        <sz val="11"/>
        <color theme="1" tint="0.499984740745262"/>
        <rFont val="Aptos Narrow"/>
        <family val="2"/>
        <scheme val="minor"/>
      </rPr>
      <t xml:space="preserve"> cash flows.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</si>
</sst>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\ [$€-1]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theme="1" tint="0.499984740745262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  <font>
      <b/>
      <i/>
      <sz val="11"/>
      <color theme="1" tint="0.499984740745262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theme="7" tint="0.39997558519241921"/>
      </left>
      <right/>
      <top/>
      <bottom style="thin">
        <color theme="7" tint="0.39997558519241921"/>
      </bottom>
      <diagonal/>
    </border>
    <border>
      <left/>
      <right/>
      <top/>
      <bottom style="thin">
        <color theme="7" tint="0.39997558519241921"/>
      </bottom>
      <diagonal/>
    </border>
    <border>
      <left/>
      <right style="thin">
        <color theme="7" tint="0.39997558519241921"/>
      </right>
      <top/>
      <bottom style="thin">
        <color theme="7" tint="0.3999755851924192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76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4" fillId="0" borderId="0" xfId="2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4" fillId="0" borderId="0" xfId="2" applyAlignment="1">
      <alignment horizontal="left" vertical="top"/>
    </xf>
    <xf numFmtId="0" fontId="4" fillId="0" borderId="0" xfId="2" applyAlignment="1">
      <alignment vertical="top" wrapText="1"/>
    </xf>
    <xf numFmtId="0" fontId="4" fillId="0" borderId="0" xfId="2" applyAlignment="1">
      <alignment wrapText="1"/>
    </xf>
    <xf numFmtId="0" fontId="4" fillId="0" borderId="0" xfId="2" applyAlignment="1">
      <alignment horizontal="left" vertical="top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9" fontId="0" fillId="0" borderId="0" xfId="1" applyFon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4" fillId="0" borderId="0" xfId="2" applyAlignment="1"/>
    <xf numFmtId="0" fontId="0" fillId="0" borderId="0" xfId="0" applyAlignment="1">
      <alignment wrapText="1"/>
    </xf>
    <xf numFmtId="0" fontId="0" fillId="3" borderId="0" xfId="0" applyFill="1"/>
    <xf numFmtId="0" fontId="1" fillId="0" borderId="0" xfId="0" applyFont="1"/>
    <xf numFmtId="0" fontId="0" fillId="0" borderId="0" xfId="0" applyAlignment="1">
      <alignment horizontal="center"/>
    </xf>
    <xf numFmtId="3" fontId="0" fillId="0" borderId="0" xfId="0" applyNumberFormat="1"/>
    <xf numFmtId="9" fontId="0" fillId="0" borderId="0" xfId="1" applyFont="1"/>
    <xf numFmtId="164" fontId="0" fillId="0" borderId="0" xfId="1" applyNumberFormat="1" applyFont="1"/>
    <xf numFmtId="3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164" fontId="0" fillId="0" borderId="0" xfId="1" applyNumberFormat="1" applyFont="1" applyFill="1"/>
    <xf numFmtId="9" fontId="0" fillId="0" borderId="0" xfId="1" applyFont="1" applyFill="1"/>
    <xf numFmtId="165" fontId="0" fillId="0" borderId="0" xfId="1" applyNumberFormat="1" applyFont="1" applyFill="1"/>
    <xf numFmtId="4" fontId="0" fillId="0" borderId="0" xfId="0" applyNumberFormat="1"/>
    <xf numFmtId="0" fontId="8" fillId="0" borderId="0" xfId="0" applyFont="1" applyAlignment="1">
      <alignment wrapText="1"/>
    </xf>
    <xf numFmtId="0" fontId="8" fillId="0" borderId="0" xfId="0" applyFont="1" applyAlignment="1">
      <alignment vertical="top" wrapText="1"/>
    </xf>
    <xf numFmtId="0" fontId="0" fillId="5" borderId="1" xfId="0" applyFill="1" applyBorder="1"/>
    <xf numFmtId="0" fontId="6" fillId="4" borderId="2" xfId="0" applyFont="1" applyFill="1" applyBorder="1" applyAlignment="1">
      <alignment horizontal="center" vertical="top"/>
    </xf>
    <xf numFmtId="0" fontId="6" fillId="4" borderId="3" xfId="0" applyFont="1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4" borderId="2" xfId="0" applyFont="1" applyFill="1" applyBorder="1" applyAlignment="1">
      <alignment horizontal="left" vertical="top"/>
    </xf>
    <xf numFmtId="0" fontId="6" fillId="4" borderId="3" xfId="0" applyFont="1" applyFill="1" applyBorder="1" applyAlignment="1">
      <alignment horizontal="left" vertical="top"/>
    </xf>
    <xf numFmtId="10" fontId="0" fillId="0" borderId="0" xfId="1" applyNumberFormat="1" applyFont="1"/>
    <xf numFmtId="3" fontId="0" fillId="0" borderId="0" xfId="1" applyNumberFormat="1" applyFont="1" applyFill="1"/>
    <xf numFmtId="165" fontId="0" fillId="0" borderId="0" xfId="0" applyNumberFormat="1"/>
    <xf numFmtId="9" fontId="0" fillId="0" borderId="0" xfId="1" applyFont="1" applyFill="1" applyAlignment="1">
      <alignment horizontal="right"/>
    </xf>
    <xf numFmtId="165" fontId="0" fillId="0" borderId="0" xfId="1" applyNumberFormat="1" applyFont="1" applyFill="1" applyAlignment="1">
      <alignment horizontal="center"/>
    </xf>
    <xf numFmtId="165" fontId="0" fillId="5" borderId="1" xfId="0" applyNumberFormat="1" applyFill="1" applyBorder="1"/>
    <xf numFmtId="10" fontId="0" fillId="0" borderId="0" xfId="1" applyNumberFormat="1" applyFont="1" applyFill="1" applyAlignment="1">
      <alignment horizontal="center"/>
    </xf>
    <xf numFmtId="0" fontId="0" fillId="0" borderId="0" xfId="1" applyNumberFormat="1" applyFont="1" applyFill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0" fillId="0" borderId="0" xfId="0" applyFont="1" applyAlignment="1">
      <alignment vertical="top" wrapText="1"/>
    </xf>
    <xf numFmtId="165" fontId="0" fillId="0" borderId="0" xfId="1" applyNumberFormat="1" applyFont="1" applyFill="1" applyAlignment="1">
      <alignment horizontal="right"/>
    </xf>
    <xf numFmtId="3" fontId="0" fillId="0" borderId="0" xfId="0" applyNumberFormat="1" applyAlignment="1">
      <alignment vertical="center" wrapText="1"/>
    </xf>
    <xf numFmtId="9" fontId="0" fillId="0" borderId="0" xfId="0" applyNumberFormat="1" applyAlignment="1">
      <alignment horizontal="right" vertical="center" wrapText="1"/>
    </xf>
    <xf numFmtId="10" fontId="0" fillId="0" borderId="0" xfId="0" applyNumberFormat="1" applyAlignment="1">
      <alignment vertical="center" wrapText="1"/>
    </xf>
    <xf numFmtId="165" fontId="0" fillId="0" borderId="0" xfId="1" applyNumberFormat="1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 wrapText="1"/>
    </xf>
    <xf numFmtId="165" fontId="0" fillId="6" borderId="0" xfId="1" applyNumberFormat="1" applyFont="1" applyFill="1"/>
    <xf numFmtId="0" fontId="7" fillId="0" borderId="0" xfId="0" applyFont="1" applyAlignment="1">
      <alignment vertical="center" wrapText="1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10" fontId="0" fillId="0" borderId="0" xfId="1" applyNumberFormat="1" applyFont="1" applyAlignment="1">
      <alignment horizontal="right" vertical="center" wrapText="1"/>
    </xf>
    <xf numFmtId="10" fontId="0" fillId="0" borderId="0" xfId="1" applyNumberFormat="1" applyFont="1" applyFill="1" applyAlignment="1">
      <alignment horizontal="right" vertical="center"/>
    </xf>
    <xf numFmtId="0" fontId="8" fillId="0" borderId="0" xfId="0" applyFont="1" applyFill="1" applyAlignment="1">
      <alignment wrapText="1"/>
    </xf>
    <xf numFmtId="9" fontId="0" fillId="0" borderId="0" xfId="1" applyNumberFormat="1" applyFont="1" applyFill="1"/>
  </cellXfs>
  <cellStyles count="3">
    <cellStyle name="Hyperlink" xfId="2" builtinId="8"/>
    <cellStyle name="Normal" xfId="0" builtinId="0"/>
    <cellStyle name="Percent" xfId="1" builtinId="5"/>
  </cellStyles>
  <dxfs count="104">
    <dxf>
      <numFmt numFmtId="165" formatCode="#,##0\ [$€-1]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65" formatCode="#,##0\ [$€-1]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165" formatCode="#,##0\ [$€-1]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165" formatCode="#,##0\ [$€-1]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165" formatCode="#,##0\ [$€-1]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165" formatCode="#,##0\ [$€-1]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165" formatCode="#,##0\ [$€-1]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165" formatCode="#,##0\ [$€-1]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165" formatCode="#,##0\ [$€-1]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165" formatCode="#,##0\ [$€-1]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165" formatCode="#,##0\ [$€-1]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165" formatCode="#,##0\ [$€-1]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165" formatCode="#,##0\ [$€-1]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165" formatCode="#,##0\ [$€-1]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165" formatCode="#,##0\ [$€-1]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165" formatCode="#,##0\ [$€-1]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165" formatCode="#,##0\ [$€-1]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165" formatCode="#,##0\ [$€-1]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165" formatCode="#,##0\ [$€-1]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165" formatCode="#,##0\ [$€-1]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165" formatCode="#,##0\ [$€-1]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165" formatCode="#,##0\ [$€-1]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165" formatCode="#,##0\ [$€-1]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165" formatCode="#,##0\ [$€-1]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165" formatCode="#,##0\ [$€-1]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165" formatCode="#,##0\ [$€-1]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165" formatCode="#,##0\ [$€-1]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65" formatCode="#,##0\ [$€-1]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165" formatCode="#,##0\ [$€-1]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165" formatCode="#,##0\ [$€-1]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165" formatCode="#,##0\ [$€-1]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165" formatCode="#,##0\ [$€-1]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165" formatCode="#,##0\ [$€-1]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165" formatCode="#,##0\ [$€-1]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165" formatCode="#,##0\ [$€-1]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165" formatCode="#,##0\ [$€-1]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165" formatCode="#,##0\ [$€-1]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165" formatCode="#,##0\ [$€-1]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165" formatCode="#,##0\ [$€-1]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165" formatCode="#,##0\ [$€-1]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165" formatCode="#,##0\ [$€-1]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165" formatCode="#,##0\ [$€-1]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165" formatCode="#,##0\ [$€-1]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165" formatCode="#,##0\ [$€-1]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165" formatCode="#,##0\ [$€-1]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165" formatCode="#,##0\ [$€-1]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165" formatCode="#,##0\ [$€-1]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165" formatCode="#,##0\ [$€-1]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165" formatCode="#,##0\ [$€-1]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165" formatCode="#,##0\ [$€-1]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165" formatCode="#,##0\ [$€-1]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165" formatCode="#,##0\ [$€-1]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numFmt numFmtId="165" formatCode="#,##0\ [$€-1]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65" formatCode="#,##0\ [$€-1]"/>
    </dxf>
    <dxf>
      <numFmt numFmtId="0" formatCode="General"/>
      <alignment horizontal="center" vertical="bottom" textRotation="0" wrapText="0" indent="0" justifyLastLine="0" shrinkToFit="0" readingOrder="0"/>
    </dxf>
    <dxf>
      <border outline="0">
        <top style="thin">
          <color theme="7" tint="0.39997558519241921"/>
        </top>
      </border>
    </dxf>
    <dxf>
      <border outline="0">
        <bottom style="thin">
          <color theme="7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7"/>
          <bgColor theme="7"/>
        </patternFill>
      </fill>
      <alignment horizontal="center" vertical="top" textRotation="0" wrapText="0" indent="0" justifyLastLine="0" shrinkToFit="0" readingOrder="0"/>
    </dxf>
    <dxf>
      <numFmt numFmtId="0" formatCode="General"/>
    </dxf>
    <dxf>
      <border outline="0">
        <top style="thin">
          <color theme="7" tint="0.39997558519241921"/>
        </top>
      </border>
    </dxf>
    <dxf>
      <border outline="0">
        <bottom style="thin">
          <color theme="7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7"/>
          <bgColor theme="7"/>
        </patternFill>
      </fill>
      <alignment horizontal="center" vertical="top" textRotation="0" wrapText="0" indent="0" justifyLastLine="0" shrinkToFit="0" readingOrder="0"/>
    </dxf>
    <dxf>
      <numFmt numFmtId="0" formatCode="General"/>
    </dxf>
    <dxf>
      <border outline="0">
        <top style="thin">
          <color theme="7" tint="0.39997558519241921"/>
        </top>
      </border>
    </dxf>
    <dxf>
      <border outline="0">
        <bottom style="thin">
          <color theme="7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7"/>
          <bgColor theme="7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</font>
      <alignment horizontal="general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left" vertical="top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3" formatCode="#,##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E1AD0D-1971-4306-8665-B831EF167C7C}" name="Table1" displayName="Table1" ref="A3:E15" totalsRowShown="0" headerRowDxfId="96">
  <autoFilter ref="A3:E15" xr:uid="{1BE1AD0D-1971-4306-8665-B831EF167C7C}"/>
  <tableColumns count="5">
    <tableColumn id="1" xr3:uid="{D1617979-2B63-475C-8795-AC0FAB5D0F9C}" name="Parameter" dataDxfId="95"/>
    <tableColumn id="2" xr3:uid="{6F5E767A-B913-4D21-B5A3-8FD0DCF61CCD}" name="Value" dataDxfId="94"/>
    <tableColumn id="3" xr3:uid="{1E613CF2-259D-450C-86A5-72F55D135825}" name="Unit" dataDxfId="93"/>
    <tableColumn id="4" xr3:uid="{128379DD-A34F-45B0-96CF-8BFD6189C3BD}" name="Source" dataDxfId="92"/>
    <tableColumn id="5" xr3:uid="{A72150AE-B5D0-401C-AAD0-2EB722FB5A58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8CF0C5A-93EF-4A9F-9F87-DB5314BAB6B8}" name="Table2" displayName="Table2" ref="A20:E30" insertRowShift="1" totalsRowShown="0" headerRowDxfId="91" dataDxfId="90">
  <autoFilter ref="A20:E30" xr:uid="{F8CF0C5A-93EF-4A9F-9F87-DB5314BAB6B8}"/>
  <tableColumns count="5">
    <tableColumn id="1" xr3:uid="{55D69E6A-32C2-4502-AD37-6C6718FED014}" name="Parameter" dataDxfId="89"/>
    <tableColumn id="2" xr3:uid="{051AD234-8719-4F89-896B-22A410A16A59}" name="Value" dataDxfId="88"/>
    <tableColumn id="3" xr3:uid="{AEDCB30E-A9F8-4604-AC44-BF16F3912CDB}" name="Unit" dataDxfId="87"/>
    <tableColumn id="4" xr3:uid="{1727C5AD-C727-40FC-912E-7639F5162A7A}" name="Source" dataDxfId="86"/>
    <tableColumn id="5" xr3:uid="{FB56C90C-07F4-482B-A589-4D5EC3E4E639}" name="Notes" dataDxfId="85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335671-A96E-4212-B923-D0990DB9F13B}" name="Table3" displayName="Table3" ref="A2:AB9" totalsRowShown="0" headerRowDxfId="84">
  <autoFilter ref="A2:AB9" xr:uid="{A8335671-A96E-4212-B923-D0990DB9F13B}"/>
  <tableColumns count="28">
    <tableColumn id="1" xr3:uid="{31B65648-85AD-439A-BF19-FA83531FDEE3}" name="Paremeter" dataDxfId="83"/>
    <tableColumn id="2" xr3:uid="{26C7BA46-528D-4D6F-9710-12607CF166DA}" name="Unit" dataDxfId="82"/>
    <tableColumn id="3" xr3:uid="{994298CC-5874-44E3-870A-0F121F1424A2}" name="Year 0" dataDxfId="81"/>
    <tableColumn id="4" xr3:uid="{7FD43474-C4E5-433A-8A8D-8D70302426FF}" name="Year 1"/>
    <tableColumn id="5" xr3:uid="{B93A14A1-5DF7-4AF3-97DE-8ECCA14FC17D}" name="Year 2"/>
    <tableColumn id="6" xr3:uid="{204B36B3-8042-4C0E-80FF-D4DCC337F4C7}" name="Year 3"/>
    <tableColumn id="7" xr3:uid="{B3D197C9-0C63-4CD8-8F8C-FA7815D5499E}" name="Year 4"/>
    <tableColumn id="8" xr3:uid="{717992C3-0AF6-451F-B2B7-D4F0D7EEF6D4}" name="Year 5"/>
    <tableColumn id="9" xr3:uid="{C6987E84-3D09-43EF-AA72-9A9C251E027C}" name="Year 6"/>
    <tableColumn id="10" xr3:uid="{7A353D05-FAC3-4E4B-BEC7-E2764CEBD25E}" name="Year 7"/>
    <tableColumn id="11" xr3:uid="{5CE8E6E1-1ADD-470B-86AD-2D42761C8573}" name="Year 8"/>
    <tableColumn id="12" xr3:uid="{AB554928-F9C2-4F31-9081-04B06D92082E}" name="Year 9"/>
    <tableColumn id="13" xr3:uid="{DAC88628-5611-45B9-85E4-3F15212EFBD2}" name="Year 10"/>
    <tableColumn id="14" xr3:uid="{1E9BDC1F-B423-43A7-A23A-2C289CDBBEDC}" name="Year 11"/>
    <tableColumn id="15" xr3:uid="{F78651B5-D164-453C-97BA-52B26673208C}" name="Year 12"/>
    <tableColumn id="16" xr3:uid="{E174DF49-D5CF-4FC8-86D7-1063E7F7897A}" name="Year 13"/>
    <tableColumn id="17" xr3:uid="{94DEDE32-D927-41AE-9372-EC3ACFEB9E5D}" name="Year 14"/>
    <tableColumn id="18" xr3:uid="{EE841209-EFCC-4093-AFFA-4902C5767F3B}" name="Year 15"/>
    <tableColumn id="19" xr3:uid="{7E866C99-8FB2-4FB7-8D45-F36F316A7DB4}" name="Year 16"/>
    <tableColumn id="20" xr3:uid="{692BF261-8F36-4C1E-B30C-C9DBB771A316}" name="Year 17"/>
    <tableColumn id="21" xr3:uid="{D8AB120C-A17E-404A-8EF8-2EE817131898}" name="Year 18"/>
    <tableColumn id="22" xr3:uid="{8773F8AF-5103-468F-8A40-8B7059387916}" name="Year 19"/>
    <tableColumn id="23" xr3:uid="{0CF18AF2-70FD-4D9F-AFEC-BA55038C5F46}" name="Year 20"/>
    <tableColumn id="24" xr3:uid="{00BB9B9F-F675-4595-88CB-13E0B445D3FF}" name="Year 21"/>
    <tableColumn id="25" xr3:uid="{213EADD9-4FE8-47A0-95D5-EFA1F6070DEB}" name="Year 22"/>
    <tableColumn id="26" xr3:uid="{B25A2959-C3C0-4B3A-8C9A-CFE4F9D01089}" name="Year 23"/>
    <tableColumn id="27" xr3:uid="{58ED9336-A205-477B-BB2A-1939FBE9D60B}" name="Year 24"/>
    <tableColumn id="28" xr3:uid="{2697FB65-F36A-42DC-B92E-A6C474F9E6F2}" name="Year 25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3F4E0CE-0DB6-4EC0-9937-9813738DE0A2}" name="Table35" displayName="Table35" ref="A2:AB5" totalsRowShown="0" headerRowDxfId="80">
  <autoFilter ref="A2:AB5" xr:uid="{E3F4E0CE-0DB6-4EC0-9937-9813738DE0A2}"/>
  <tableColumns count="28">
    <tableColumn id="1" xr3:uid="{40BE6A85-A069-4CF0-9F94-797BFD5C79C8}" name="Paremeter" dataDxfId="79"/>
    <tableColumn id="2" xr3:uid="{CC54BBED-5DFC-4D58-8763-552BFACAB601}" name="Unit" dataDxfId="78"/>
    <tableColumn id="3" xr3:uid="{37CFE662-0698-42AE-ABEB-C809FE608BE4}" name="Year 0" dataDxfId="77"/>
    <tableColumn id="4" xr3:uid="{1CDBBBEE-EA15-49F8-8648-A0FE45479629}" name="Year 1"/>
    <tableColumn id="5" xr3:uid="{9C01E16C-F100-4408-BB7D-37903B106D15}" name="Year 2"/>
    <tableColumn id="6" xr3:uid="{CCC49C4E-0C23-430A-BC01-9B3DC153B370}" name="Year 3"/>
    <tableColumn id="7" xr3:uid="{D3AA7644-C4D3-478B-B186-D0369D2FF7D9}" name="Year 4"/>
    <tableColumn id="8" xr3:uid="{FE33EEA3-7D1B-4EBC-A4DD-E9F900388A74}" name="Year 5"/>
    <tableColumn id="9" xr3:uid="{2DCDDF9F-8441-4863-A03E-920624FD11C1}" name="Year 6"/>
    <tableColumn id="10" xr3:uid="{9F4B29EE-DA6E-4EDC-992F-760C65CFC8E2}" name="Year 7"/>
    <tableColumn id="11" xr3:uid="{693BE930-7B40-47B0-9888-B169BB286BDA}" name="Year 8"/>
    <tableColumn id="12" xr3:uid="{CA62E134-6FAF-4825-9550-FC773E91B07D}" name="Year 9"/>
    <tableColumn id="13" xr3:uid="{37993EDB-935D-4893-AC90-2F3B208508C3}" name="Year 10"/>
    <tableColumn id="14" xr3:uid="{9AF3C49D-7768-4B8F-B5A5-BB07C472342B}" name="Year 11"/>
    <tableColumn id="15" xr3:uid="{E891CE29-AFCA-4E2F-BF4E-B90B8FCCFB2A}" name="Year 12"/>
    <tableColumn id="16" xr3:uid="{399EC54F-6D40-48E4-A356-811173AED612}" name="Year 13"/>
    <tableColumn id="17" xr3:uid="{5CFEE6BF-8083-486F-994E-4504F1FA7E14}" name="Year 14"/>
    <tableColumn id="18" xr3:uid="{FA55505A-E141-4448-BA8B-C79CEFFB385A}" name="Year 15"/>
    <tableColumn id="19" xr3:uid="{E2F6A16C-01EC-4801-8B9E-FF4AD749D827}" name="Year 16"/>
    <tableColumn id="20" xr3:uid="{7D186359-6B04-4264-9A14-E87410B023BF}" name="Year 17"/>
    <tableColumn id="21" xr3:uid="{3F65BD72-1949-46A1-BC59-A687FB6C8737}" name="Year 18"/>
    <tableColumn id="22" xr3:uid="{4A72B21B-D585-4B8F-8429-918D1A772621}" name="Year 19"/>
    <tableColumn id="23" xr3:uid="{10C8075A-F032-4178-95E4-AE2697E379E7}" name="Year 20"/>
    <tableColumn id="24" xr3:uid="{6D133E34-202A-486A-A1A4-FF12851FA66D}" name="Year 21"/>
    <tableColumn id="25" xr3:uid="{0AA0B5C6-4BC0-411E-A7B8-5B190CCE5B97}" name="Year 22"/>
    <tableColumn id="26" xr3:uid="{0F245DCE-29E5-45F3-8F7C-4E7590AA5AC8}" name="Year 23"/>
    <tableColumn id="27" xr3:uid="{BFB6E96A-1D80-4C85-9CB6-2566CE4A56CF}" name="Year 24"/>
    <tableColumn id="28" xr3:uid="{BD739E48-1965-4841-B055-626F81BCB590}" name="Year 25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1F8544E-084D-4A4A-A3B1-72636047483D}" name="Table5" displayName="Table5" ref="A2:AB5" totalsRowShown="0" headerRowDxfId="76" headerRowBorderDxfId="75" tableBorderDxfId="74">
  <autoFilter ref="A2:AB5" xr:uid="{21F8544E-084D-4A4A-A3B1-72636047483D}"/>
  <tableColumns count="28">
    <tableColumn id="1" xr3:uid="{B2AF920A-351A-43A2-9465-4D6C1AD19674}" name="Parameter"/>
    <tableColumn id="2" xr3:uid="{DAD0C7B9-F727-4485-8DA7-873B7F7AED4B}" name="Unit"/>
    <tableColumn id="3" xr3:uid="{1CF4F233-9A55-431A-9382-9560EF1FD11C}" name="Year 0" dataDxfId="73">
      <calculatedColumnFormula>'03_Revenues'!C5</calculatedColumnFormula>
    </tableColumn>
    <tableColumn id="4" xr3:uid="{593EA4EF-7ADC-48EE-A519-4D87417206C1}" name="Year 1"/>
    <tableColumn id="5" xr3:uid="{AA48B8B0-4063-4D15-AC1A-30D06BB5B806}" name="Year 2"/>
    <tableColumn id="6" xr3:uid="{327DBADE-92F3-403D-9860-D0C10413A137}" name="Year 3"/>
    <tableColumn id="7" xr3:uid="{4CF519E7-F288-4E26-9637-7B57DF3BC206}" name="Year 4"/>
    <tableColumn id="8" xr3:uid="{B42AEBDA-5FDA-448D-9C7B-913174692595}" name="Year 5"/>
    <tableColumn id="9" xr3:uid="{9B27DF20-CB08-4049-ACFC-18C724304145}" name="Year 6"/>
    <tableColumn id="10" xr3:uid="{A747011B-AA52-4A81-9379-71FC7192DDA8}" name="Year 7"/>
    <tableColumn id="11" xr3:uid="{E1511584-DAEA-4BDE-9A57-4341D9B7C556}" name="Year 8"/>
    <tableColumn id="12" xr3:uid="{F98ACF9A-3C5F-4839-91EB-74B36BA66F70}" name="Year 9"/>
    <tableColumn id="13" xr3:uid="{40F7853F-518B-41CB-9A5E-34982BE0CCE2}" name="Year 10"/>
    <tableColumn id="14" xr3:uid="{D2963CED-FF53-4181-B1E6-DCD8801DEBFF}" name="Year 11"/>
    <tableColumn id="15" xr3:uid="{19E91A60-5E74-401D-9FA7-9E89933334FD}" name="Year 12"/>
    <tableColumn id="16" xr3:uid="{79EA5FB7-CEB8-4747-BD64-9B43040A54E7}" name="Year 13"/>
    <tableColumn id="17" xr3:uid="{0B3F3430-AB7D-4745-AE36-62511013AF06}" name="Year 14"/>
    <tableColumn id="18" xr3:uid="{768B24D8-5BB0-4CD8-B0D5-82EB7F8E33E9}" name="Year 15"/>
    <tableColumn id="19" xr3:uid="{89ACD963-A6C4-46BB-98B4-9272A68AB102}" name="Year 16"/>
    <tableColumn id="20" xr3:uid="{A3C198AD-427B-4DCB-9F23-52E2BD64FD69}" name="Year 17"/>
    <tableColumn id="21" xr3:uid="{A256DE3B-0A2F-47F5-8096-246EA6CE1524}" name="Year 18"/>
    <tableColumn id="22" xr3:uid="{2662A721-5CDC-4F7E-8F09-4D01125EACB3}" name="Year 19"/>
    <tableColumn id="23" xr3:uid="{7D0FDBC5-9F9D-4995-8E2B-F388F18E7907}" name="Year 20"/>
    <tableColumn id="24" xr3:uid="{AA366A6E-B74E-4E7B-9F28-C489C84EFCEB}" name="Year 21"/>
    <tableColumn id="25" xr3:uid="{1CCB9DB2-1756-44A7-9424-B607E8E0A46A}" name="Year 22"/>
    <tableColumn id="26" xr3:uid="{F5A3CC47-F0BC-485A-9A75-1E984E5C9138}" name="Year 23"/>
    <tableColumn id="27" xr3:uid="{0CE20EAF-A6E0-4BB2-B0BC-004EE34EC892}" name="Year 24"/>
    <tableColumn id="28" xr3:uid="{9B7225B1-8E00-4A3E-B020-5E4DC34A9E9E}" name="Year 2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EB38DBA-4CCD-4992-A97F-FFFCA802C447}" name="Table57" displayName="Table57" ref="A2:AB9" totalsRowShown="0" headerRowDxfId="72" headerRowBorderDxfId="71" tableBorderDxfId="70">
  <autoFilter ref="A2:AB9" xr:uid="{BEB38DBA-4CCD-4992-A97F-FFFCA802C447}"/>
  <tableColumns count="28">
    <tableColumn id="1" xr3:uid="{2F819DA9-8045-4594-8D67-A11EB655653A}" name="Parameter"/>
    <tableColumn id="2" xr3:uid="{1AE74A82-22D6-4FAD-B535-EB76A3A7BDDD}" name="Unit"/>
    <tableColumn id="3" xr3:uid="{6D2C528F-8EA6-4DBE-9271-6AF47CEAE300}" name="Year 0" dataDxfId="69">
      <calculatedColumnFormula>'03_Revenues'!C5</calculatedColumnFormula>
    </tableColumn>
    <tableColumn id="4" xr3:uid="{B157E7D0-EF03-4221-B448-74DDCC90F468}" name="Year 1"/>
    <tableColumn id="5" xr3:uid="{D3253DB4-4816-435F-8ABB-6C6E31CCA713}" name="Year 2"/>
    <tableColumn id="6" xr3:uid="{12DD8A16-1E54-42C6-A319-9A952F56ECF5}" name="Year 3"/>
    <tableColumn id="7" xr3:uid="{808E75B4-70BB-4127-AAEA-F7225AE90D02}" name="Year 4"/>
    <tableColumn id="8" xr3:uid="{67C72E7E-E4FB-4A8F-848E-D38057E08B56}" name="Year 5"/>
    <tableColumn id="9" xr3:uid="{4E1EA947-C8C7-4254-A65E-90F5D9FBF5C3}" name="Year 6"/>
    <tableColumn id="10" xr3:uid="{2CE6469E-2E65-425A-8302-312D271B0192}" name="Year 7"/>
    <tableColumn id="11" xr3:uid="{543E694B-F390-4349-B67E-1506989FCFC6}" name="Year 8"/>
    <tableColumn id="12" xr3:uid="{1099F621-35B5-43B0-86CE-FAB2B92FB6EC}" name="Year 9"/>
    <tableColumn id="13" xr3:uid="{49D74FD8-C0CA-469E-B5F6-BAAF436665BF}" name="Year 10"/>
    <tableColumn id="14" xr3:uid="{3B8CBE38-722D-4FC5-9EEE-EA6A5442BE32}" name="Year 11"/>
    <tableColumn id="15" xr3:uid="{A2BC90F6-F512-4B21-BE5B-8A7E00184A42}" name="Year 12"/>
    <tableColumn id="16" xr3:uid="{19331FAD-8EF1-4AAC-90C5-E5BD445B44DE}" name="Year 13"/>
    <tableColumn id="17" xr3:uid="{EBE5A3A0-0FE6-4494-B892-AE435A6DB0FB}" name="Year 14"/>
    <tableColumn id="18" xr3:uid="{1EE0C8AB-4668-473B-8BDC-D21757B6CD80}" name="Year 15"/>
    <tableColumn id="19" xr3:uid="{B0AC0F87-CF3D-4436-AC26-E89A41AF5A8A}" name="Year 16"/>
    <tableColumn id="20" xr3:uid="{DE0F7967-E6B0-45A9-81FD-6A72FDDE34FD}" name="Year 17"/>
    <tableColumn id="21" xr3:uid="{37B83CEA-DF2A-4696-925D-933CAEE6ECE6}" name="Year 18"/>
    <tableColumn id="22" xr3:uid="{3698298C-AF9B-4944-8754-37C2850175DD}" name="Year 19"/>
    <tableColumn id="23" xr3:uid="{700D0262-E6CF-40FC-A15D-40D10162B56B}" name="Year 20"/>
    <tableColumn id="24" xr3:uid="{42569298-5A1B-447D-8605-017CE41CAF2A}" name="Year 21"/>
    <tableColumn id="25" xr3:uid="{39065C73-D689-4B51-85F5-5B1565658BF6}" name="Year 22"/>
    <tableColumn id="26" xr3:uid="{26D09F96-BDB1-47D1-8ACE-D319DD07351C}" name="Year 23"/>
    <tableColumn id="27" xr3:uid="{46622D9C-7B6F-4488-9430-2ED121260425}" name="Year 24"/>
    <tableColumn id="28" xr3:uid="{32E9ABA9-8EE6-47D4-962A-C6973A355505}" name="Year 2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47FDBF3-804D-43F4-8426-1C44ECF99CEB}" name="Table578" displayName="Table578" ref="A2:AB11" totalsRowShown="0" headerRowDxfId="68" headerRowBorderDxfId="67" tableBorderDxfId="66">
  <autoFilter ref="A2:AB11" xr:uid="{847FDBF3-804D-43F4-8426-1C44ECF99CEB}"/>
  <tableColumns count="28">
    <tableColumn id="1" xr3:uid="{D3780D3E-A1AE-4544-BD60-ADC401D78C80}" name="Parameter"/>
    <tableColumn id="2" xr3:uid="{DF4BB4C0-573D-4D58-8218-8C6B6EDB8F89}" name="Unit"/>
    <tableColumn id="3" xr3:uid="{281EC0A3-AD22-43FF-B1E3-00156ED0FCF5}" name="Year 0" dataDxfId="65">
      <calculatedColumnFormula>'03_Revenues'!C5</calculatedColumnFormula>
    </tableColumn>
    <tableColumn id="4" xr3:uid="{F62A0EF8-41A5-4459-A092-E04A081842B9}" name="Year 1"/>
    <tableColumn id="5" xr3:uid="{FCCFB722-77BC-4E40-9FD6-68A24280DA56}" name="Year 2" dataDxfId="64">
      <calculatedColumnFormula>$C$4*D1</calculatedColumnFormula>
    </tableColumn>
    <tableColumn id="6" xr3:uid="{C12B0C05-C26E-40AB-AA9E-49CB6EF1DBF0}" name="Year 3"/>
    <tableColumn id="7" xr3:uid="{592C04E6-3322-49BF-A4D8-1C9954238024}" name="Year 4"/>
    <tableColumn id="8" xr3:uid="{8D608632-314E-4E9D-A6B3-FC1DA887FDD2}" name="Year 5"/>
    <tableColumn id="9" xr3:uid="{7B67D754-FA56-4B52-96C1-27299A2D34AB}" name="Year 6"/>
    <tableColumn id="10" xr3:uid="{38617A12-38BE-4ABE-B113-1BBC63563AEF}" name="Year 7"/>
    <tableColumn id="11" xr3:uid="{A44A3EE3-0DD0-4818-A787-1C26BD104BD7}" name="Year 8"/>
    <tableColumn id="12" xr3:uid="{31F450FD-753F-4EF5-B1AC-327F8FBCFEFA}" name="Year 9"/>
    <tableColumn id="13" xr3:uid="{006195A2-63EC-466B-A27A-14F6D9CC97F9}" name="Year 10"/>
    <tableColumn id="14" xr3:uid="{359891E1-BCB0-46E4-9F46-89898747A81D}" name="Year 11"/>
    <tableColumn id="15" xr3:uid="{613C7B68-F5EC-41B1-8B4A-D90941FCCCC0}" name="Year 12"/>
    <tableColumn id="16" xr3:uid="{A4D75558-E325-4FA2-BAF4-758532403C0E}" name="Year 13"/>
    <tableColumn id="17" xr3:uid="{8ED2BFFC-5B79-4581-A391-E2BAE49E61B3}" name="Year 14"/>
    <tableColumn id="18" xr3:uid="{EF3E789A-053D-4497-A2D0-A48087400DA7}" name="Year 15"/>
    <tableColumn id="19" xr3:uid="{37711F68-AAD9-490E-9085-F8D3F80A0BBF}" name="Year 16"/>
    <tableColumn id="20" xr3:uid="{24AC667F-4FE9-4E78-99AE-9B9D4191C11E}" name="Year 17"/>
    <tableColumn id="21" xr3:uid="{35287B65-1755-42DF-B1B5-60A30AF2F902}" name="Year 18"/>
    <tableColumn id="22" xr3:uid="{41FE5424-B743-4A18-940B-4D3C505E529E}" name="Year 19"/>
    <tableColumn id="23" xr3:uid="{124B892D-8616-4E13-99CF-D3958AA8B5EF}" name="Year 20"/>
    <tableColumn id="24" xr3:uid="{DE762EA1-ACBC-40C7-A920-D3151F3F35EB}" name="Year 21"/>
    <tableColumn id="25" xr3:uid="{1EC4AF14-40A0-4F86-8380-3666FBA24518}" name="Year 22"/>
    <tableColumn id="26" xr3:uid="{0544CE08-7CB7-4E26-992A-1BD4FE124C2F}" name="Year 23"/>
    <tableColumn id="27" xr3:uid="{C271B413-4AE0-40F7-8BD3-F838EE3C1995}" name="Year 24"/>
    <tableColumn id="28" xr3:uid="{3E257FA3-D3CC-49A6-B983-0FD263659B82}" name="Year 2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C32D056-9EC6-4828-9753-B40CBF14785B}" name="Table8" displayName="Table8" ref="A2:AB12" totalsRowShown="0" headerRowDxfId="63" dataDxfId="62">
  <autoFilter ref="A2:AB12" xr:uid="{EC32D056-9EC6-4828-9753-B40CBF14785B}"/>
  <tableColumns count="28">
    <tableColumn id="1" xr3:uid="{10BFDC40-1EBE-4AE7-859E-7588BAAAAF45}" name="Parameter" dataDxfId="61"/>
    <tableColumn id="2" xr3:uid="{66C2FC57-4683-485E-B12D-03E422320151}" name="Unit" dataDxfId="60"/>
    <tableColumn id="3" xr3:uid="{BB24C2F6-E0DA-4102-97E6-8400294B36F9}" name="Year 0" dataDxfId="59" dataCellStyle="Percent"/>
    <tableColumn id="4" xr3:uid="{CB46568C-A4B6-4C68-BF42-FB66F61108CE}" name="Year 1" dataDxfId="58" dataCellStyle="Percent"/>
    <tableColumn id="5" xr3:uid="{F5464250-59F5-405A-A27C-10560351A941}" name="Year 2" dataDxfId="57" dataCellStyle="Percent"/>
    <tableColumn id="6" xr3:uid="{8357B591-F98F-4292-AA32-4B293591FAF3}" name="Year 3" dataDxfId="56" dataCellStyle="Percent"/>
    <tableColumn id="7" xr3:uid="{4B100F2B-0A12-4371-9DFB-2F58EDA28B4A}" name="Year 4" dataDxfId="55" dataCellStyle="Percent"/>
    <tableColumn id="8" xr3:uid="{BD4EE2F2-A432-421F-B3BA-C4F1FA2ADE2B}" name="Year 5" dataDxfId="54" dataCellStyle="Percent"/>
    <tableColumn id="9" xr3:uid="{234B1DA5-66EE-4335-9DFB-3CED486C066B}" name="Year 6" dataDxfId="53" dataCellStyle="Percent"/>
    <tableColumn id="10" xr3:uid="{6182E75D-6264-4C83-8C8D-E4B57C595B2F}" name="Year 7" dataDxfId="52" dataCellStyle="Percent"/>
    <tableColumn id="11" xr3:uid="{96EFCE6C-0304-4349-8E1F-D20EA10C0D94}" name="Year 8" dataDxfId="51" dataCellStyle="Percent"/>
    <tableColumn id="12" xr3:uid="{58F0969F-207E-4F9E-B540-6928F123F64A}" name="Year 9" dataDxfId="50" dataCellStyle="Percent"/>
    <tableColumn id="13" xr3:uid="{0C69C361-8E96-4CD4-B920-031502C8C6F1}" name="Year 10" dataDxfId="49" dataCellStyle="Percent"/>
    <tableColumn id="14" xr3:uid="{AB9A18BA-65EA-43B4-BCB9-96E9D52BA9E5}" name="Year 11" dataDxfId="48" dataCellStyle="Percent"/>
    <tableColumn id="15" xr3:uid="{DDC18671-E787-4D44-AFD5-738B8859ECBE}" name="Year 12" dataDxfId="47" dataCellStyle="Percent"/>
    <tableColumn id="16" xr3:uid="{8134D7E6-83CA-4FC3-9E2C-209356D76B51}" name="Year 13" dataDxfId="46" dataCellStyle="Percent"/>
    <tableColumn id="17" xr3:uid="{10A84EFA-E373-46C0-9EA9-2C2E9830EFCE}" name="Year 14" dataDxfId="45" dataCellStyle="Percent"/>
    <tableColumn id="18" xr3:uid="{D46C634A-FE64-43F6-A2C3-A5DBF8261B20}" name="Year 15" dataDxfId="44" dataCellStyle="Percent"/>
    <tableColumn id="19" xr3:uid="{E8BB8CF3-D0FA-4615-918A-1F7D8A319E8F}" name="Year 16" dataDxfId="43" dataCellStyle="Percent"/>
    <tableColumn id="20" xr3:uid="{0072CE99-2AA6-4BEC-A186-6D33C5DED231}" name="Year 17" dataDxfId="42" dataCellStyle="Percent"/>
    <tableColumn id="21" xr3:uid="{EE0C28DA-3946-4B52-A323-F0AF8446F4C1}" name="Year 18" dataDxfId="41" dataCellStyle="Percent"/>
    <tableColumn id="22" xr3:uid="{2A46951A-4DE4-45CD-A0AE-6A32A80538ED}" name="Year 19" dataDxfId="40" dataCellStyle="Percent"/>
    <tableColumn id="23" xr3:uid="{B378A739-A4D2-402F-8B10-77392BE659D9}" name="Year 20" dataDxfId="39" dataCellStyle="Percent"/>
    <tableColumn id="24" xr3:uid="{0A372D3E-9BAF-4F93-85D0-0B3CFA87C0F0}" name="Year 21" dataDxfId="38" dataCellStyle="Percent"/>
    <tableColumn id="25" xr3:uid="{48EB22ED-89D6-4FDA-AB33-350437BD626B}" name="Year 22" dataDxfId="37" dataCellStyle="Percent"/>
    <tableColumn id="26" xr3:uid="{5AA9A160-8CB5-4E2F-A22C-2AA3E57DB712}" name="Year 23" dataDxfId="36" dataCellStyle="Percent"/>
    <tableColumn id="27" xr3:uid="{7666A8F1-D68C-4C1D-B434-50EE86BD9517}" name="Year 24" dataDxfId="35" dataCellStyle="Percent"/>
    <tableColumn id="28" xr3:uid="{5CD0B65A-F305-4EB2-99C6-64159BB8D09A}" name="Year 25" dataDxfId="34" dataCellStyle="Percent"/>
  </tableColumns>
  <tableStyleInfo name="TableStyleMedium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54802AF-5D85-427A-989C-8ED39CB17B05}" name="Table10" displayName="Table10" ref="A2:AB8" totalsRowShown="0" headerRowDxfId="103">
  <autoFilter ref="A2:AB8" xr:uid="{A54802AF-5D85-427A-989C-8ED39CB17B05}"/>
  <tableColumns count="28">
    <tableColumn id="1" xr3:uid="{8F5C00BE-7529-4FDD-97F7-836B7C8E268F}" name="Parameter" dataDxfId="102"/>
    <tableColumn id="2" xr3:uid="{D9636149-B882-4E38-B0CC-E0FF425603B5}" name="Unit" dataDxfId="101"/>
    <tableColumn id="3" xr3:uid="{F219F58B-EAFE-45DC-824B-858C8B7CB20C}" name="Year 0" dataDxfId="100">
      <calculatedColumnFormula>'07_Cash_Flow'!C12</calculatedColumnFormula>
    </tableColumn>
    <tableColumn id="4" xr3:uid="{777076F6-A901-4406-9872-7FC8BA6F52C9}" name="Year 1"/>
    <tableColumn id="5" xr3:uid="{74E03D51-308B-43FB-8852-835503449FBE}" name="Year 2"/>
    <tableColumn id="6" xr3:uid="{D3BE8668-DF2B-40D2-9C3F-6D3F379AE328}" name="Year 3" dataDxfId="99"/>
    <tableColumn id="7" xr3:uid="{39A6FD97-65CA-4DC9-A081-5552167A2CC4}" name="Year 4" dataDxfId="98"/>
    <tableColumn id="8" xr3:uid="{DB414952-AEC6-4650-A659-DFC584CD4836}" name="Year 5" dataDxfId="97"/>
    <tableColumn id="9" xr3:uid="{767428CF-0B8F-4D12-97D9-24DE58D14A9A}" name="Year 6"/>
    <tableColumn id="10" xr3:uid="{A9C06319-0C33-405E-B88D-A02CEB8CA992}" name="Year 7"/>
    <tableColumn id="11" xr3:uid="{374DCBE8-E88D-4FBB-8CB6-78DF63F3B7C4}" name="Year 8"/>
    <tableColumn id="12" xr3:uid="{482567F2-A915-4840-90B1-989D9D9804A1}" name="Year 9"/>
    <tableColumn id="13" xr3:uid="{5561A369-DA25-43DC-BEDA-C89F31A1B082}" name="Year 10"/>
    <tableColumn id="14" xr3:uid="{454BA9B8-F177-45A5-B137-3511709FF286}" name="Year 11"/>
    <tableColumn id="15" xr3:uid="{6B6D3396-F3CD-4DA4-BAF9-F14246086BF3}" name="Year 12"/>
    <tableColumn id="16" xr3:uid="{79A61549-FEED-4037-8A6B-979D9BE5711F}" name="Year 13"/>
    <tableColumn id="17" xr3:uid="{F45AF61D-014A-4657-B84C-43C6923405FF}" name="Year 14"/>
    <tableColumn id="18" xr3:uid="{3EE8251E-9C0D-418F-B6B6-57C1FDEF7D54}" name="Year 15"/>
    <tableColumn id="19" xr3:uid="{B26C49DB-041C-4926-884B-5A6FDF6B34A5}" name="Year 16"/>
    <tableColumn id="20" xr3:uid="{9333DE9C-1296-43F9-9A5D-7519DD3891FC}" name="Year 17"/>
    <tableColumn id="21" xr3:uid="{C0788BBF-F3EA-4D89-A420-2D9497678AF1}" name="Year 18"/>
    <tableColumn id="22" xr3:uid="{F6B37347-3EBD-488A-AB9B-25936EA14860}" name="Year 19"/>
    <tableColumn id="23" xr3:uid="{D63C43BE-ACCF-4B57-B365-19AE1AB76F6B}" name="Year 20"/>
    <tableColumn id="24" xr3:uid="{C0A0A2E7-5083-4D59-961A-78BF2F060D3C}" name="Year 21"/>
    <tableColumn id="25" xr3:uid="{5C7B2060-7D5C-469D-9783-96C78D73345C}" name="Year 22"/>
    <tableColumn id="26" xr3:uid="{32E03359-6856-486D-AA46-B323C33C5791}" name="Year 23"/>
    <tableColumn id="27" xr3:uid="{83E9ED20-E826-4F7D-A16D-2D2653670130}" name="Year 24"/>
    <tableColumn id="28" xr3:uid="{0F517BB9-0A73-49DF-A7BC-20303D6BA539}" name="Year 25"/>
  </tableColumns>
  <tableStyleInfo name="TableStyleMedium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0480495-0C9B-40E9-816A-65850682EB32}" name="Table1012" displayName="Table1012" ref="A2:C10" totalsRowShown="0" headerRowDxfId="3">
  <autoFilter ref="A2:C10" xr:uid="{10480495-0C9B-40E9-816A-65850682EB32}"/>
  <tableColumns count="3">
    <tableColumn id="1" xr3:uid="{23171DA0-33DE-42B1-BEE8-FF1900AD0460}" name="Parameter" dataDxfId="2"/>
    <tableColumn id="2" xr3:uid="{55EDB194-40BC-43A2-BCED-405928BCE2A4}" name="Unit" dataDxfId="1"/>
    <tableColumn id="3" xr3:uid="{1515CE21-9FDD-4AB7-B3B8-EF987D89C711}" name="Result" dataDxfId="0">
      <calculatedColumnFormula>'01_Assumptions'!B11*10^6</calculatedColumnFormula>
    </tableColumn>
  </tableColumns>
  <tableStyleInfo name="TableStyleMedium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4789FCA-39B3-4349-BF37-5A2FC10BD784}" name="Table810" displayName="Table810" ref="A2:AB15" totalsRowShown="0" headerRowDxfId="33" dataDxfId="32">
  <autoFilter ref="A2:AB15" xr:uid="{EC32D056-9EC6-4828-9753-B40CBF14785B}"/>
  <tableColumns count="28">
    <tableColumn id="1" xr3:uid="{DFF5089C-FA52-43C0-B34C-63F026C4A58D}" name="Parameter" dataDxfId="31"/>
    <tableColumn id="2" xr3:uid="{FDF492BD-CA22-472C-82D8-99E8B9177999}" name="Unit" dataDxfId="30"/>
    <tableColumn id="3" xr3:uid="{02570493-D96B-4B9D-8E47-7281A397E3CD}" name="Year 0" dataDxfId="29" dataCellStyle="Percent"/>
    <tableColumn id="4" xr3:uid="{0B42BF72-78AF-456E-A5E6-AFD17689D118}" name="Year 1" dataDxfId="28" dataCellStyle="Percent"/>
    <tableColumn id="5" xr3:uid="{AFE2DC29-B211-4EEC-93D7-00D1A2A4AC20}" name="Year 2" dataDxfId="27" dataCellStyle="Percent"/>
    <tableColumn id="6" xr3:uid="{1F3731A5-60DE-4F85-9F96-9BC0EC6E4D94}" name="Year 3" dataDxfId="26" dataCellStyle="Percent"/>
    <tableColumn id="7" xr3:uid="{18E3F35B-568C-4257-A7FF-39B35A3A7A6D}" name="Year 4" dataDxfId="25" dataCellStyle="Percent"/>
    <tableColumn id="8" xr3:uid="{D913D04A-2596-409B-968C-14AC5E36A188}" name="Year 5" dataDxfId="24" dataCellStyle="Percent"/>
    <tableColumn id="9" xr3:uid="{E062BF72-1C08-4A50-8FBA-A92E6BB0F7E2}" name="Year 6" dataDxfId="23" dataCellStyle="Percent"/>
    <tableColumn id="10" xr3:uid="{8F9B0371-8F7D-4860-95D1-0B781A864F2B}" name="Year 7" dataDxfId="22" dataCellStyle="Percent"/>
    <tableColumn id="11" xr3:uid="{79A2B0A7-9D6A-4868-BE6D-9CE167B51E0A}" name="Year 8" dataDxfId="21" dataCellStyle="Percent"/>
    <tableColumn id="12" xr3:uid="{B438819B-7A9B-4CC8-A836-AB91A507CDD9}" name="Year 9" dataDxfId="20" dataCellStyle="Percent"/>
    <tableColumn id="13" xr3:uid="{CBDAF7E8-AAF5-423B-9E0F-8EE9EB4C266F}" name="Year 10" dataDxfId="19" dataCellStyle="Percent"/>
    <tableColumn id="14" xr3:uid="{D5DF92CA-52F7-49D2-883F-807602864BF9}" name="Year 11" dataDxfId="18" dataCellStyle="Percent"/>
    <tableColumn id="15" xr3:uid="{521AF158-8641-47D8-9F4C-9131B3C1C3C5}" name="Year 12" dataDxfId="17" dataCellStyle="Percent"/>
    <tableColumn id="16" xr3:uid="{0E5EAA26-486A-421A-A857-1C8F85E0A66A}" name="Year 13" dataDxfId="16" dataCellStyle="Percent"/>
    <tableColumn id="17" xr3:uid="{04F1D11B-A6FD-4669-AC1F-55D7DE6A6CE1}" name="Year 14" dataDxfId="15" dataCellStyle="Percent"/>
    <tableColumn id="18" xr3:uid="{E587A4AC-455E-48AA-8B35-4CB50A29495B}" name="Year 15" dataDxfId="14" dataCellStyle="Percent"/>
    <tableColumn id="19" xr3:uid="{BEB748B0-630A-4803-9914-433A62EFFE99}" name="Year 16" dataDxfId="13" dataCellStyle="Percent"/>
    <tableColumn id="20" xr3:uid="{FF008F28-3F25-43B4-BBD7-D2200B15BBB9}" name="Year 17" dataDxfId="12" dataCellStyle="Percent"/>
    <tableColumn id="21" xr3:uid="{83A762FC-B7FF-4C13-B1DA-290E475A8347}" name="Year 18" dataDxfId="11" dataCellStyle="Percent"/>
    <tableColumn id="22" xr3:uid="{2393E82B-F6F4-41D7-B6B6-4F91D36655ED}" name="Year 19" dataDxfId="10" dataCellStyle="Percent"/>
    <tableColumn id="23" xr3:uid="{75192765-6BD0-4768-9467-029DA10E4F91}" name="Year 20" dataDxfId="9" dataCellStyle="Percent"/>
    <tableColumn id="24" xr3:uid="{4CE7D9A6-0D59-49A9-B739-0D163D94F3FF}" name="Year 21" dataDxfId="8" dataCellStyle="Percent"/>
    <tableColumn id="25" xr3:uid="{E42284ED-2B77-48BE-9566-6C6066144C0C}" name="Year 22" dataDxfId="7" dataCellStyle="Percent"/>
    <tableColumn id="26" xr3:uid="{49316BAB-59AB-4458-9713-F4E38692D27A}" name="Year 23" dataDxfId="6" dataCellStyle="Percent"/>
    <tableColumn id="27" xr3:uid="{A668A1A4-FB49-45DE-9EA9-8C24534609F0}" name="Year 24" dataDxfId="5" dataCellStyle="Percent"/>
    <tableColumn id="28" xr3:uid="{E608E27B-0509-4028-B3E8-CB406A246F58}" name="Year 25" dataDxfId="4" dataCellStyle="Percent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olardataatlas.com/en/data-solar-wacc-europe" TargetMode="External"/><Relationship Id="rId3" Type="http://schemas.openxmlformats.org/officeDocument/2006/relationships/hyperlink" Target="https://greensolver.net/articles/solar-panel-degradation-rates/" TargetMode="External"/><Relationship Id="rId7" Type="http://schemas.openxmlformats.org/officeDocument/2006/relationships/hyperlink" Target="https://www.impots.gouv.fr/international-professionnel/impot-sur-les-societes?" TargetMode="External"/><Relationship Id="rId12" Type="http://schemas.openxmlformats.org/officeDocument/2006/relationships/table" Target="../tables/table2.xml"/><Relationship Id="rId2" Type="http://schemas.openxmlformats.org/officeDocument/2006/relationships/hyperlink" Target="https://www.solardataatlas.com/en/data-solar-opex-europe" TargetMode="External"/><Relationship Id="rId1" Type="http://schemas.openxmlformats.org/officeDocument/2006/relationships/hyperlink" Target="https://www.solardataatlas.com/en/data-solar-capex-europe" TargetMode="External"/><Relationship Id="rId6" Type="http://schemas.openxmlformats.org/officeDocument/2006/relationships/hyperlink" Target="https://analysesetdonnees.rte-france.com/en/generation/solar" TargetMode="External"/><Relationship Id="rId11" Type="http://schemas.openxmlformats.org/officeDocument/2006/relationships/table" Target="../tables/table1.xml"/><Relationship Id="rId5" Type="http://schemas.openxmlformats.org/officeDocument/2006/relationships/hyperlink" Target="https://www.banque-france.fr/fr/publications-et-statistiques/publications/quest-ce-que-la-politique-monetaire" TargetMode="External"/><Relationship Id="rId10" Type="http://schemas.openxmlformats.org/officeDocument/2006/relationships/hyperlink" Target="https://www.solardataatlas.com/en/data-solar-wacc-europe" TargetMode="External"/><Relationship Id="rId4" Type="http://schemas.openxmlformats.org/officeDocument/2006/relationships/hyperlink" Target="https://www.solardataatlas.com/en/data-solar-ppa-prices-europe" TargetMode="External"/><Relationship Id="rId9" Type="http://schemas.openxmlformats.org/officeDocument/2006/relationships/hyperlink" Target="https://www.solardataatlas.com/en/data-solar-wacc-europ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A7702-9035-4192-A7C5-06D42AB0149F}">
  <dimension ref="A1:F39"/>
  <sheetViews>
    <sheetView topLeftCell="A6" workbookViewId="0">
      <selection activeCell="B30" sqref="B30"/>
    </sheetView>
  </sheetViews>
  <sheetFormatPr defaultRowHeight="14.5" x14ac:dyDescent="0.35"/>
  <cols>
    <col min="1" max="1" width="31.08984375" customWidth="1"/>
    <col min="2" max="2" width="19.26953125" customWidth="1"/>
    <col min="3" max="3" width="21.1796875" customWidth="1"/>
    <col min="4" max="4" width="73" customWidth="1"/>
    <col min="5" max="5" width="48.26953125" customWidth="1"/>
  </cols>
  <sheetData>
    <row r="1" spans="1:6" ht="18.5" x14ac:dyDescent="0.45">
      <c r="A1" s="70" t="s">
        <v>38</v>
      </c>
      <c r="B1" s="70"/>
      <c r="C1" s="70"/>
      <c r="D1" s="70"/>
      <c r="E1" s="70"/>
      <c r="F1" s="70"/>
    </row>
    <row r="2" spans="1:6" ht="18.5" x14ac:dyDescent="0.45">
      <c r="A2" s="1"/>
      <c r="B2" s="1"/>
      <c r="C2" s="1"/>
      <c r="D2" s="1"/>
      <c r="E2" s="1"/>
      <c r="F2" s="1"/>
    </row>
    <row r="3" spans="1:6" x14ac:dyDescent="0.35">
      <c r="A3" s="2" t="s">
        <v>4</v>
      </c>
      <c r="B3" s="2" t="s">
        <v>5</v>
      </c>
      <c r="C3" s="2" t="s">
        <v>6</v>
      </c>
      <c r="D3" s="2" t="s">
        <v>16</v>
      </c>
      <c r="E3" s="2" t="s">
        <v>20</v>
      </c>
    </row>
    <row r="4" spans="1:6" x14ac:dyDescent="0.35">
      <c r="A4" s="3" t="s">
        <v>14</v>
      </c>
      <c r="B4" s="13" t="s">
        <v>15</v>
      </c>
      <c r="C4" s="13" t="s">
        <v>43</v>
      </c>
      <c r="D4" s="7"/>
    </row>
    <row r="5" spans="1:6" x14ac:dyDescent="0.35">
      <c r="A5" s="3" t="s">
        <v>31</v>
      </c>
      <c r="B5" s="13" t="s">
        <v>32</v>
      </c>
      <c r="C5" s="13" t="s">
        <v>43</v>
      </c>
      <c r="D5" s="7"/>
    </row>
    <row r="6" spans="1:6" x14ac:dyDescent="0.35">
      <c r="A6" s="3" t="s">
        <v>3</v>
      </c>
      <c r="B6" s="13">
        <v>100</v>
      </c>
      <c r="C6" s="13" t="s">
        <v>24</v>
      </c>
      <c r="D6" s="7"/>
      <c r="E6" s="4"/>
    </row>
    <row r="7" spans="1:6" x14ac:dyDescent="0.35">
      <c r="A7" s="3" t="s">
        <v>2</v>
      </c>
      <c r="B7" s="13">
        <v>25</v>
      </c>
      <c r="C7" s="13" t="s">
        <v>8</v>
      </c>
      <c r="D7" s="7"/>
      <c r="E7" s="4"/>
    </row>
    <row r="8" spans="1:6" x14ac:dyDescent="0.35">
      <c r="A8" s="3" t="s">
        <v>1</v>
      </c>
      <c r="B8" s="13">
        <v>1</v>
      </c>
      <c r="C8" s="13" t="s">
        <v>7</v>
      </c>
      <c r="D8" s="7"/>
      <c r="E8" s="4"/>
    </row>
    <row r="9" spans="1:6" x14ac:dyDescent="0.35">
      <c r="A9" s="3" t="s">
        <v>0</v>
      </c>
      <c r="B9" s="13">
        <v>25</v>
      </c>
      <c r="C9" s="13" t="s">
        <v>8</v>
      </c>
      <c r="D9" s="7"/>
      <c r="E9" s="4"/>
    </row>
    <row r="10" spans="1:6" x14ac:dyDescent="0.35">
      <c r="A10" s="3" t="s">
        <v>9</v>
      </c>
      <c r="B10" s="17">
        <v>0.14099999999999999</v>
      </c>
      <c r="C10" s="13" t="s">
        <v>17</v>
      </c>
      <c r="D10" s="12" t="s">
        <v>35</v>
      </c>
      <c r="E10" s="4" t="s">
        <v>34</v>
      </c>
    </row>
    <row r="11" spans="1:6" ht="43.5" x14ac:dyDescent="0.35">
      <c r="A11" s="3" t="s">
        <v>10</v>
      </c>
      <c r="B11" s="13">
        <v>85</v>
      </c>
      <c r="C11" s="13" t="s">
        <v>26</v>
      </c>
      <c r="D11" s="9" t="s">
        <v>18</v>
      </c>
      <c r="E11" s="8" t="s">
        <v>30</v>
      </c>
    </row>
    <row r="12" spans="1:6" ht="43.5" x14ac:dyDescent="0.35">
      <c r="A12" s="3" t="s">
        <v>11</v>
      </c>
      <c r="B12" s="13">
        <v>1.1000000000000001</v>
      </c>
      <c r="C12" s="13" t="s">
        <v>27</v>
      </c>
      <c r="D12" s="9" t="s">
        <v>19</v>
      </c>
      <c r="E12" s="5" t="s">
        <v>29</v>
      </c>
    </row>
    <row r="13" spans="1:6" x14ac:dyDescent="0.35">
      <c r="A13" s="3" t="s">
        <v>12</v>
      </c>
      <c r="B13" s="17">
        <v>5.0000000000000001E-3</v>
      </c>
      <c r="C13" s="13" t="s">
        <v>23</v>
      </c>
      <c r="D13" s="6" t="s">
        <v>21</v>
      </c>
      <c r="E13" s="10"/>
    </row>
    <row r="14" spans="1:6" ht="43.5" x14ac:dyDescent="0.35">
      <c r="A14" s="3" t="s">
        <v>28</v>
      </c>
      <c r="B14" s="13">
        <v>59</v>
      </c>
      <c r="C14" s="13" t="s">
        <v>97</v>
      </c>
      <c r="D14" s="9" t="s">
        <v>22</v>
      </c>
      <c r="E14" s="5" t="s">
        <v>33</v>
      </c>
    </row>
    <row r="15" spans="1:6" ht="29" x14ac:dyDescent="0.35">
      <c r="A15" s="3" t="s">
        <v>13</v>
      </c>
      <c r="B15" s="16">
        <v>0.02</v>
      </c>
      <c r="C15" s="13" t="s">
        <v>17</v>
      </c>
      <c r="D15" s="11" t="s">
        <v>36</v>
      </c>
      <c r="E15" s="5" t="s">
        <v>37</v>
      </c>
    </row>
    <row r="18" spans="1:6" s="22" customFormat="1" ht="18.5" x14ac:dyDescent="0.45">
      <c r="A18" s="71" t="s">
        <v>58</v>
      </c>
      <c r="B18" s="71"/>
      <c r="C18" s="71"/>
      <c r="D18" s="71"/>
      <c r="E18" s="71"/>
      <c r="F18" s="71"/>
    </row>
    <row r="20" spans="1:6" x14ac:dyDescent="0.35">
      <c r="A20" s="2" t="s">
        <v>4</v>
      </c>
      <c r="B20" s="2" t="s">
        <v>5</v>
      </c>
      <c r="C20" s="2" t="s">
        <v>6</v>
      </c>
      <c r="D20" s="2" t="s">
        <v>16</v>
      </c>
      <c r="E20" s="2" t="s">
        <v>20</v>
      </c>
      <c r="F20" s="2"/>
    </row>
    <row r="21" spans="1:6" x14ac:dyDescent="0.35">
      <c r="A21" s="15" t="s">
        <v>39</v>
      </c>
      <c r="B21" s="16">
        <v>0.25</v>
      </c>
      <c r="C21" s="13" t="s">
        <v>17</v>
      </c>
      <c r="D21" s="20" t="s">
        <v>40</v>
      </c>
      <c r="E21" s="21" t="s">
        <v>43</v>
      </c>
    </row>
    <row r="22" spans="1:6" x14ac:dyDescent="0.35">
      <c r="A22" s="15" t="s">
        <v>41</v>
      </c>
      <c r="B22" s="16">
        <v>0.75</v>
      </c>
      <c r="C22" s="13" t="s">
        <v>17</v>
      </c>
      <c r="D22" t="s">
        <v>43</v>
      </c>
      <c r="E22" s="21" t="s">
        <v>53</v>
      </c>
    </row>
    <row r="23" spans="1:6" x14ac:dyDescent="0.35">
      <c r="A23" s="15" t="s">
        <v>42</v>
      </c>
      <c r="B23" s="16">
        <v>0.25</v>
      </c>
      <c r="C23" s="13" t="s">
        <v>17</v>
      </c>
      <c r="D23" t="s">
        <v>43</v>
      </c>
      <c r="E23" s="21" t="s">
        <v>53</v>
      </c>
    </row>
    <row r="24" spans="1:6" x14ac:dyDescent="0.35">
      <c r="A24" s="15" t="s">
        <v>44</v>
      </c>
      <c r="B24" s="13">
        <v>15</v>
      </c>
      <c r="C24" s="13" t="s">
        <v>8</v>
      </c>
      <c r="D24" t="s">
        <v>43</v>
      </c>
      <c r="E24" s="21" t="s">
        <v>53</v>
      </c>
    </row>
    <row r="25" spans="1:6" ht="29" x14ac:dyDescent="0.35">
      <c r="A25" s="15" t="s">
        <v>118</v>
      </c>
      <c r="B25" s="16">
        <v>2.2499999999999999E-2</v>
      </c>
      <c r="C25" s="14" t="s">
        <v>17</v>
      </c>
      <c r="D25" s="20" t="s">
        <v>49</v>
      </c>
      <c r="E25" s="21" t="s">
        <v>52</v>
      </c>
    </row>
    <row r="26" spans="1:6" ht="29" x14ac:dyDescent="0.35">
      <c r="A26" s="15" t="s">
        <v>45</v>
      </c>
      <c r="B26" s="16">
        <v>0.08</v>
      </c>
      <c r="C26" s="14" t="s">
        <v>17</v>
      </c>
      <c r="D26" s="20" t="s">
        <v>49</v>
      </c>
      <c r="E26" s="21" t="s">
        <v>51</v>
      </c>
    </row>
    <row r="27" spans="1:6" x14ac:dyDescent="0.35">
      <c r="A27" s="15" t="s">
        <v>46</v>
      </c>
      <c r="B27" s="19">
        <f>B22*B25*(1-B21)+B23*B26</f>
        <v>3.2656249999999998E-2</v>
      </c>
      <c r="C27" s="14" t="s">
        <v>17</v>
      </c>
      <c r="D27" s="20" t="s">
        <v>49</v>
      </c>
      <c r="E27" s="21" t="s">
        <v>50</v>
      </c>
    </row>
    <row r="28" spans="1:6" x14ac:dyDescent="0.35">
      <c r="A28" s="15" t="s">
        <v>47</v>
      </c>
      <c r="B28" s="19">
        <f>B27</f>
        <v>3.2656249999999998E-2</v>
      </c>
      <c r="C28" s="13" t="s">
        <v>17</v>
      </c>
      <c r="D28" t="s">
        <v>43</v>
      </c>
      <c r="E28" s="21" t="s">
        <v>54</v>
      </c>
    </row>
    <row r="29" spans="1:6" x14ac:dyDescent="0.35">
      <c r="A29" s="15" t="s">
        <v>55</v>
      </c>
      <c r="B29" s="16">
        <v>0.02</v>
      </c>
      <c r="C29" s="13" t="s">
        <v>17</v>
      </c>
      <c r="D29" t="s">
        <v>43</v>
      </c>
      <c r="E29" s="21" t="s">
        <v>56</v>
      </c>
    </row>
    <row r="30" spans="1:6" x14ac:dyDescent="0.35">
      <c r="A30" s="15" t="s">
        <v>48</v>
      </c>
      <c r="B30" s="18">
        <f>B27+B29</f>
        <v>5.2656250000000002E-2</v>
      </c>
      <c r="C30" s="14" t="s">
        <v>17</v>
      </c>
      <c r="D30" t="s">
        <v>43</v>
      </c>
      <c r="E30" s="21" t="s">
        <v>57</v>
      </c>
    </row>
    <row r="37" spans="1:1" x14ac:dyDescent="0.35">
      <c r="A37" s="34" t="s">
        <v>101</v>
      </c>
    </row>
    <row r="38" spans="1:1" ht="43.5" x14ac:dyDescent="0.35">
      <c r="A38" s="34" t="s">
        <v>100</v>
      </c>
    </row>
    <row r="39" spans="1:1" ht="58" x14ac:dyDescent="0.35">
      <c r="A39" s="34" t="s">
        <v>102</v>
      </c>
    </row>
  </sheetData>
  <mergeCells count="2">
    <mergeCell ref="A1:F1"/>
    <mergeCell ref="A18:F18"/>
  </mergeCells>
  <hyperlinks>
    <hyperlink ref="D11" r:id="rId1" xr:uid="{BA00B7B3-19C0-4F69-87BA-39EFE654942C}"/>
    <hyperlink ref="D12" r:id="rId2" xr:uid="{01F3666C-B2F4-4F9D-809F-90DCD2724F7A}"/>
    <hyperlink ref="D13" r:id="rId3" display="https://greensolver.net/articles/solar-panel-degradation-rates/" xr:uid="{D5848144-C414-4809-8F5E-DC645F042A87}"/>
    <hyperlink ref="D14" r:id="rId4" xr:uid="{F8670A35-6596-4A6C-929F-47E5E979582A}"/>
    <hyperlink ref="D15" r:id="rId5" xr:uid="{C6F1040A-6C1E-4701-B6DD-9F216EB0737E}"/>
    <hyperlink ref="D10" r:id="rId6" xr:uid="{5F08EA40-9264-409D-A791-194EAE3E4A3C}"/>
    <hyperlink ref="D21" r:id="rId7" display="https://www.impots.gouv.fr/international-professionnel/impot-sur-les-societes?" xr:uid="{1836586E-2697-4D8C-A163-07FE28B5CD84}"/>
    <hyperlink ref="D25" r:id="rId8" display="https://www.solardataatlas.com/en/data-solar-wacc-europe" xr:uid="{82153530-4F99-4AB8-B9BD-C8D9531B41E8}"/>
    <hyperlink ref="D26" r:id="rId9" display="https://www.solardataatlas.com/en/data-solar-wacc-europe" xr:uid="{FD4AFC4D-4555-4AB4-AE6C-AC016B4D1617}"/>
    <hyperlink ref="D27" r:id="rId10" display="https://www.solardataatlas.com/en/data-solar-wacc-europe" xr:uid="{FE4A3678-FE45-412C-98B3-BC5196A2D9ED}"/>
  </hyperlinks>
  <pageMargins left="0.7" right="0.7" top="0.75" bottom="0.75" header="0.3" footer="0.3"/>
  <tableParts count="2">
    <tablePart r:id="rId11"/>
    <tablePart r:id="rId1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6FAAA-317D-406A-B180-AAA2E6F1B37D}">
  <dimension ref="A2:AB15"/>
  <sheetViews>
    <sheetView workbookViewId="0">
      <selection activeCell="D14" sqref="D14"/>
    </sheetView>
  </sheetViews>
  <sheetFormatPr defaultRowHeight="14.5" x14ac:dyDescent="0.35"/>
  <cols>
    <col min="1" max="1" width="28.90625" customWidth="1"/>
    <col min="3" max="3" width="8.90625" bestFit="1" customWidth="1"/>
    <col min="4" max="4" width="13.26953125" customWidth="1"/>
    <col min="13" max="28" width="8.90625" customWidth="1"/>
  </cols>
  <sheetData>
    <row r="2" spans="1:28" s="41" customFormat="1" x14ac:dyDescent="0.35">
      <c r="A2" s="40" t="s">
        <v>60</v>
      </c>
      <c r="B2" s="41" t="s">
        <v>6</v>
      </c>
      <c r="C2" s="41" t="s">
        <v>86</v>
      </c>
      <c r="D2" s="41" t="s">
        <v>61</v>
      </c>
      <c r="E2" s="41" t="s">
        <v>62</v>
      </c>
      <c r="F2" s="41" t="s">
        <v>63</v>
      </c>
      <c r="G2" s="41" t="s">
        <v>64</v>
      </c>
      <c r="H2" s="41" t="s">
        <v>65</v>
      </c>
      <c r="I2" s="41" t="s">
        <v>66</v>
      </c>
      <c r="J2" s="41" t="s">
        <v>67</v>
      </c>
      <c r="K2" s="41" t="s">
        <v>68</v>
      </c>
      <c r="L2" s="41" t="s">
        <v>69</v>
      </c>
      <c r="M2" s="41" t="s">
        <v>70</v>
      </c>
      <c r="N2" s="41" t="s">
        <v>71</v>
      </c>
      <c r="O2" s="41" t="s">
        <v>72</v>
      </c>
      <c r="P2" s="41" t="s">
        <v>73</v>
      </c>
      <c r="Q2" s="41" t="s">
        <v>74</v>
      </c>
      <c r="R2" s="41" t="s">
        <v>75</v>
      </c>
      <c r="S2" s="41" t="s">
        <v>76</v>
      </c>
      <c r="T2" s="41" t="s">
        <v>77</v>
      </c>
      <c r="U2" s="41" t="s">
        <v>78</v>
      </c>
      <c r="V2" s="41" t="s">
        <v>79</v>
      </c>
      <c r="W2" s="41" t="s">
        <v>80</v>
      </c>
      <c r="X2" s="41" t="s">
        <v>81</v>
      </c>
      <c r="Y2" s="41" t="s">
        <v>82</v>
      </c>
      <c r="Z2" s="41" t="s">
        <v>83</v>
      </c>
      <c r="AA2" s="41" t="s">
        <v>84</v>
      </c>
      <c r="AB2" s="41" t="s">
        <v>85</v>
      </c>
    </row>
    <row r="3" spans="1:28" x14ac:dyDescent="0.35">
      <c r="A3" t="s">
        <v>94</v>
      </c>
      <c r="B3" s="24" t="s">
        <v>87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100</v>
      </c>
      <c r="M3">
        <v>100</v>
      </c>
      <c r="N3">
        <v>100</v>
      </c>
      <c r="O3">
        <v>100</v>
      </c>
      <c r="P3">
        <v>100</v>
      </c>
      <c r="Q3">
        <v>100</v>
      </c>
      <c r="R3">
        <v>100</v>
      </c>
      <c r="S3">
        <v>100</v>
      </c>
      <c r="T3">
        <v>100</v>
      </c>
      <c r="U3">
        <v>100</v>
      </c>
      <c r="V3">
        <v>100</v>
      </c>
      <c r="W3">
        <v>100</v>
      </c>
      <c r="X3">
        <v>100</v>
      </c>
      <c r="Y3">
        <v>100</v>
      </c>
      <c r="Z3">
        <v>100</v>
      </c>
      <c r="AA3">
        <v>100</v>
      </c>
      <c r="AB3">
        <v>100</v>
      </c>
    </row>
    <row r="4" spans="1:28" s="25" customFormat="1" x14ac:dyDescent="0.35">
      <c r="A4" s="25" t="s">
        <v>90</v>
      </c>
      <c r="B4" s="28" t="s">
        <v>88</v>
      </c>
      <c r="C4" s="25">
        <v>0</v>
      </c>
      <c r="D4" s="25">
        <v>8760</v>
      </c>
      <c r="E4" s="25">
        <v>8760</v>
      </c>
      <c r="F4" s="25">
        <v>8760</v>
      </c>
      <c r="G4" s="25">
        <v>8760</v>
      </c>
      <c r="H4" s="25">
        <v>8760</v>
      </c>
      <c r="I4" s="25">
        <v>8760</v>
      </c>
      <c r="J4" s="25">
        <v>8760</v>
      </c>
      <c r="K4" s="25">
        <v>8760</v>
      </c>
      <c r="L4" s="25">
        <v>8760</v>
      </c>
      <c r="M4" s="25">
        <v>8760</v>
      </c>
      <c r="N4" s="25">
        <v>8760</v>
      </c>
      <c r="O4" s="25">
        <v>8760</v>
      </c>
      <c r="P4" s="25">
        <v>8760</v>
      </c>
      <c r="Q4" s="25">
        <v>8760</v>
      </c>
      <c r="R4" s="25">
        <v>8760</v>
      </c>
      <c r="S4" s="25">
        <v>8760</v>
      </c>
      <c r="T4" s="25">
        <v>8760</v>
      </c>
      <c r="U4" s="25">
        <v>8760</v>
      </c>
      <c r="V4" s="25">
        <v>8760</v>
      </c>
      <c r="W4" s="25">
        <v>8760</v>
      </c>
      <c r="X4" s="25">
        <v>8760</v>
      </c>
      <c r="Y4" s="25">
        <v>8760</v>
      </c>
      <c r="Z4" s="25">
        <v>8760</v>
      </c>
      <c r="AA4" s="25">
        <v>8760</v>
      </c>
      <c r="AB4" s="25">
        <v>8760</v>
      </c>
    </row>
    <row r="5" spans="1:28" x14ac:dyDescent="0.35">
      <c r="A5" t="s">
        <v>91</v>
      </c>
      <c r="B5" s="24" t="s">
        <v>17</v>
      </c>
      <c r="C5" s="30">
        <v>0.14099999999999999</v>
      </c>
      <c r="D5" s="27">
        <v>0.14099999999999999</v>
      </c>
      <c r="E5" s="27">
        <v>0.14099999999999999</v>
      </c>
      <c r="F5" s="27">
        <v>0.14099999999999999</v>
      </c>
      <c r="G5" s="27">
        <v>0.14099999999999999</v>
      </c>
      <c r="H5" s="27">
        <v>0.14099999999999999</v>
      </c>
      <c r="I5" s="27">
        <v>0.14099999999999999</v>
      </c>
      <c r="J5" s="27">
        <v>0.14099999999999999</v>
      </c>
      <c r="K5" s="27">
        <v>0.14099999999999999</v>
      </c>
      <c r="L5" s="27">
        <v>0.14099999999999999</v>
      </c>
      <c r="M5" s="27">
        <v>0.14099999999999999</v>
      </c>
      <c r="N5" s="27">
        <v>0.14099999999999999</v>
      </c>
      <c r="O5" s="27">
        <v>0.14099999999999999</v>
      </c>
      <c r="P5" s="27">
        <v>0.14099999999999999</v>
      </c>
      <c r="Q5" s="27">
        <v>0.14099999999999999</v>
      </c>
      <c r="R5" s="27">
        <v>0.14099999999999999</v>
      </c>
      <c r="S5" s="27">
        <v>0.14099999999999999</v>
      </c>
      <c r="T5" s="27">
        <v>0.14099999999999999</v>
      </c>
      <c r="U5" s="27">
        <v>0.14099999999999999</v>
      </c>
      <c r="V5" s="27">
        <v>0.14099999999999999</v>
      </c>
      <c r="W5" s="27">
        <v>0.14099999999999999</v>
      </c>
      <c r="X5" s="27">
        <v>0.14099999999999999</v>
      </c>
      <c r="Y5" s="27">
        <v>0.14099999999999999</v>
      </c>
      <c r="Z5" s="27">
        <v>0.14099999999999999</v>
      </c>
      <c r="AA5" s="27">
        <v>0.14099999999999999</v>
      </c>
      <c r="AB5" s="27">
        <v>0.14099999999999999</v>
      </c>
    </row>
    <row r="6" spans="1:28" s="25" customFormat="1" x14ac:dyDescent="0.35">
      <c r="A6" s="25" t="s">
        <v>92</v>
      </c>
      <c r="B6" s="28" t="s">
        <v>89</v>
      </c>
      <c r="C6" s="25">
        <f>C3*C4*C5</f>
        <v>0</v>
      </c>
      <c r="D6" s="25">
        <f>D3*D4*D5*(1-C7)</f>
        <v>123515.99999999999</v>
      </c>
      <c r="E6" s="25">
        <f>Table3[[#This Row],[Year 1]]*(1-D7)</f>
        <v>122898.41999999998</v>
      </c>
      <c r="F6" s="25">
        <f>Table3[[#This Row],[Year 2]]*(1-E7)</f>
        <v>122283.92789999998</v>
      </c>
      <c r="G6" s="25">
        <f>Table3[[#This Row],[Year 3]]*(1-F7)</f>
        <v>121672.50826049998</v>
      </c>
      <c r="H6" s="25">
        <f>Table3[[#This Row],[Year 4]]*(1-G7)</f>
        <v>121064.14571919748</v>
      </c>
      <c r="I6" s="25">
        <f>Table3[[#This Row],[Year 5]]*(1-H7)</f>
        <v>120458.82499060148</v>
      </c>
      <c r="J6" s="25">
        <f>Table3[[#This Row],[Year 6]]*(1-I7)</f>
        <v>119856.53086564847</v>
      </c>
      <c r="K6" s="25">
        <f>Table3[[#This Row],[Year 7]]*(1-J7)</f>
        <v>119257.24821132023</v>
      </c>
      <c r="L6" s="25">
        <f>Table3[[#This Row],[Year 8]]*(1-K7)</f>
        <v>118660.96197026363</v>
      </c>
      <c r="M6" s="25">
        <f>Table3[[#This Row],[Year 9]]*(1-L7)</f>
        <v>118067.6571604123</v>
      </c>
      <c r="N6" s="25">
        <f>Table3[[#This Row],[Year 10]]*(1-M7)</f>
        <v>117477.31887461024</v>
      </c>
      <c r="O6" s="25">
        <f>Table3[[#This Row],[Year 11]]*(1-N7)</f>
        <v>116889.93228023719</v>
      </c>
      <c r="P6" s="25">
        <f>Table3[[#This Row],[Year 12]]*(1-O7)</f>
        <v>116305.482618836</v>
      </c>
      <c r="Q6" s="25">
        <f>Table3[[#This Row],[Year 13]]*(1-P7)</f>
        <v>115723.95520574182</v>
      </c>
      <c r="R6" s="25">
        <f>Table3[[#This Row],[Year 14]]*(1-Q7)</f>
        <v>115145.33542971312</v>
      </c>
      <c r="S6" s="25">
        <f>Table3[[#This Row],[Year 15]]*(1-R7)</f>
        <v>114569.60875256456</v>
      </c>
      <c r="T6" s="25">
        <f>Table3[[#This Row],[Year 16]]*(1-S7)</f>
        <v>113996.76070880174</v>
      </c>
      <c r="U6" s="25">
        <f>Table3[[#This Row],[Year 17]]*(1-T7)</f>
        <v>113426.77690525774</v>
      </c>
      <c r="V6" s="25">
        <f>Table3[[#This Row],[Year 18]]*(1-U7)</f>
        <v>112859.64302073144</v>
      </c>
      <c r="W6" s="25">
        <f>Table3[[#This Row],[Year 19]]*(1-V7)</f>
        <v>112295.34480562778</v>
      </c>
      <c r="X6" s="25">
        <f>Table3[[#This Row],[Year 20]]*(1-W7)</f>
        <v>111733.86808159965</v>
      </c>
      <c r="Y6" s="25">
        <f>Table3[[#This Row],[Year 21]]*(1-X7)</f>
        <v>111175.19874119165</v>
      </c>
      <c r="Z6" s="25">
        <f>Table3[[#This Row],[Year 22]]*(1-Y7)</f>
        <v>110619.32274748568</v>
      </c>
      <c r="AA6" s="25">
        <f>Table3[[#This Row],[Year 23]]*(1-Z7)</f>
        <v>110066.22613374825</v>
      </c>
      <c r="AB6" s="25">
        <f>Table3[[#This Row],[Year 24]]*(1-AA7)</f>
        <v>109515.89500307951</v>
      </c>
    </row>
    <row r="7" spans="1:28" s="26" customFormat="1" x14ac:dyDescent="0.35">
      <c r="A7" s="26" t="s">
        <v>12</v>
      </c>
      <c r="B7" s="29" t="s">
        <v>17</v>
      </c>
      <c r="C7" s="75">
        <v>0</v>
      </c>
      <c r="D7" s="27">
        <v>5.0000000000000001E-3</v>
      </c>
      <c r="E7" s="27">
        <v>5.0000000000000001E-3</v>
      </c>
      <c r="F7" s="27">
        <v>5.0000000000000001E-3</v>
      </c>
      <c r="G7" s="27">
        <v>5.0000000000000001E-3</v>
      </c>
      <c r="H7" s="27">
        <v>5.0000000000000001E-3</v>
      </c>
      <c r="I7" s="27">
        <v>5.0000000000000001E-3</v>
      </c>
      <c r="J7" s="27">
        <v>5.0000000000000001E-3</v>
      </c>
      <c r="K7" s="27">
        <v>5.0000000000000001E-3</v>
      </c>
      <c r="L7" s="27">
        <v>5.0000000000000001E-3</v>
      </c>
      <c r="M7" s="27">
        <v>5.0000000000000001E-3</v>
      </c>
      <c r="N7" s="27">
        <v>5.0000000000000001E-3</v>
      </c>
      <c r="O7" s="27">
        <v>5.0000000000000001E-3</v>
      </c>
      <c r="P7" s="27">
        <v>5.0000000000000001E-3</v>
      </c>
      <c r="Q7" s="27">
        <v>5.0000000000000001E-3</v>
      </c>
      <c r="R7" s="27">
        <v>5.0000000000000001E-3</v>
      </c>
      <c r="S7" s="27">
        <v>5.0000000000000001E-3</v>
      </c>
      <c r="T7" s="27">
        <v>5.0000000000000001E-3</v>
      </c>
      <c r="U7" s="27">
        <v>5.0000000000000001E-3</v>
      </c>
      <c r="V7" s="27">
        <v>5.0000000000000001E-3</v>
      </c>
      <c r="W7" s="27">
        <v>5.0000000000000001E-3</v>
      </c>
      <c r="X7" s="27">
        <v>5.0000000000000001E-3</v>
      </c>
      <c r="Y7" s="27">
        <v>5.0000000000000001E-3</v>
      </c>
      <c r="Z7" s="27">
        <v>5.0000000000000001E-3</v>
      </c>
      <c r="AA7" s="27">
        <v>5.0000000000000001E-3</v>
      </c>
      <c r="AB7" s="27">
        <v>5.0000000000000001E-3</v>
      </c>
    </row>
    <row r="8" spans="1:28" s="26" customFormat="1" x14ac:dyDescent="0.35">
      <c r="A8" s="26" t="s">
        <v>95</v>
      </c>
      <c r="B8" s="29" t="s">
        <v>17</v>
      </c>
      <c r="C8" s="31">
        <v>0</v>
      </c>
      <c r="D8" s="26">
        <v>0.14000000000000001</v>
      </c>
      <c r="E8" s="26">
        <v>0.14000000000000001</v>
      </c>
      <c r="F8" s="26">
        <v>0.14000000000000001</v>
      </c>
      <c r="G8" s="26">
        <v>0.14000000000000001</v>
      </c>
      <c r="H8" s="26">
        <v>0.14000000000000001</v>
      </c>
      <c r="I8" s="26">
        <v>0.14000000000000001</v>
      </c>
      <c r="J8" s="26">
        <v>0.14000000000000001</v>
      </c>
      <c r="K8" s="26">
        <v>0.14000000000000001</v>
      </c>
      <c r="L8" s="26">
        <v>0.14000000000000001</v>
      </c>
      <c r="M8" s="26">
        <v>0.14000000000000001</v>
      </c>
      <c r="N8" s="26">
        <v>0.14000000000000001</v>
      </c>
      <c r="O8" s="26">
        <v>0.14000000000000001</v>
      </c>
      <c r="P8" s="26">
        <v>0.14000000000000001</v>
      </c>
      <c r="Q8" s="26">
        <v>0.14000000000000001</v>
      </c>
      <c r="R8" s="26">
        <v>0.14000000000000001</v>
      </c>
      <c r="S8" s="26">
        <v>0.14000000000000001</v>
      </c>
      <c r="T8" s="26">
        <v>0.14000000000000001</v>
      </c>
      <c r="U8" s="26">
        <v>0.14000000000000001</v>
      </c>
      <c r="V8" s="26">
        <v>0.14000000000000001</v>
      </c>
      <c r="W8" s="26">
        <v>0.14000000000000001</v>
      </c>
      <c r="X8" s="26">
        <v>0.14000000000000001</v>
      </c>
      <c r="Y8" s="26">
        <v>0.14000000000000001</v>
      </c>
      <c r="Z8" s="26">
        <v>0.14000000000000001</v>
      </c>
      <c r="AA8" s="26">
        <v>0.14000000000000001</v>
      </c>
      <c r="AB8" s="26">
        <v>0.14000000000000001</v>
      </c>
    </row>
    <row r="9" spans="1:28" s="25" customFormat="1" x14ac:dyDescent="0.35">
      <c r="A9" s="25" t="s">
        <v>93</v>
      </c>
      <c r="B9" s="28" t="s">
        <v>89</v>
      </c>
      <c r="C9" s="25">
        <v>0</v>
      </c>
      <c r="D9" s="25">
        <f>D6*(1-D8)</f>
        <v>106223.75999999998</v>
      </c>
      <c r="E9" s="25">
        <f>E6*(1-E8)</f>
        <v>105692.64119999998</v>
      </c>
      <c r="F9" s="25">
        <f>F6*(1-F8)</f>
        <v>105164.17799399998</v>
      </c>
      <c r="G9" s="25">
        <f t="shared" ref="E9:J9" si="0">G6*(1-G8)</f>
        <v>104638.35710402997</v>
      </c>
      <c r="H9" s="25">
        <f>H6*(1-H8)</f>
        <v>104115.16531850983</v>
      </c>
      <c r="I9" s="25">
        <f t="shared" si="0"/>
        <v>103594.58949191727</v>
      </c>
      <c r="J9" s="25">
        <f t="shared" si="0"/>
        <v>103076.61654445768</v>
      </c>
      <c r="K9" s="25">
        <f t="shared" ref="K9" si="1">K6*(1-K8)</f>
        <v>102561.23346173539</v>
      </c>
      <c r="L9" s="25">
        <f t="shared" ref="L9" si="2">L6*(1-L8)</f>
        <v>102048.42729442671</v>
      </c>
      <c r="M9" s="25">
        <f t="shared" ref="M9:N9" si="3">M6*(1-M8)</f>
        <v>101538.18515795458</v>
      </c>
      <c r="N9" s="25">
        <f t="shared" si="3"/>
        <v>101030.4942321648</v>
      </c>
      <c r="O9" s="25">
        <f t="shared" ref="O9:P9" si="4">O6*(1-O8)</f>
        <v>100525.34176100398</v>
      </c>
      <c r="P9" s="25">
        <f t="shared" si="4"/>
        <v>100022.71505219895</v>
      </c>
      <c r="Q9" s="25">
        <f t="shared" ref="Q9" si="5">Q6*(1-Q8)</f>
        <v>99522.601476937969</v>
      </c>
      <c r="R9" s="25">
        <f t="shared" ref="R9" si="6">R6*(1-R8)</f>
        <v>99024.988469553282</v>
      </c>
      <c r="S9" s="25">
        <f t="shared" ref="S9:T9" si="7">S6*(1-S8)</f>
        <v>98529.863527205511</v>
      </c>
      <c r="T9" s="25">
        <f t="shared" si="7"/>
        <v>98037.214209569487</v>
      </c>
      <c r="U9" s="25">
        <f t="shared" ref="U9:V9" si="8">U6*(1-U8)</f>
        <v>97547.028138521651</v>
      </c>
      <c r="V9" s="25">
        <f t="shared" si="8"/>
        <v>97059.292997829034</v>
      </c>
      <c r="W9" s="25">
        <f t="shared" ref="W9" si="9">W6*(1-W8)</f>
        <v>96573.996532839898</v>
      </c>
      <c r="X9" s="25">
        <f>X6*(1-X8)</f>
        <v>96091.126550175701</v>
      </c>
      <c r="Y9" s="25">
        <f t="shared" ref="Y9:Z9" si="10">Y6*(1-Y8)</f>
        <v>95610.67091742481</v>
      </c>
      <c r="Z9" s="25">
        <f t="shared" si="10"/>
        <v>95132.61756283768</v>
      </c>
      <c r="AA9" s="25">
        <f t="shared" ref="AA9:AB9" si="11">AA6*(1-AA8)</f>
        <v>94656.954475023493</v>
      </c>
      <c r="AB9" s="25">
        <f t="shared" si="11"/>
        <v>94183.669702648374</v>
      </c>
    </row>
    <row r="13" spans="1:28" x14ac:dyDescent="0.35">
      <c r="A13" s="34" t="s">
        <v>101</v>
      </c>
    </row>
    <row r="14" spans="1:28" ht="58" x14ac:dyDescent="0.35">
      <c r="A14" s="34" t="s">
        <v>98</v>
      </c>
    </row>
    <row r="15" spans="1:28" ht="72.5" x14ac:dyDescent="0.35">
      <c r="A15" s="34" t="s">
        <v>99</v>
      </c>
      <c r="H15" t="s">
        <v>59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F3154-0024-4004-97FB-BF54B047365A}">
  <dimension ref="A2:AB5"/>
  <sheetViews>
    <sheetView workbookViewId="0">
      <selection activeCell="E10" sqref="E10"/>
    </sheetView>
  </sheetViews>
  <sheetFormatPr defaultRowHeight="14.5" x14ac:dyDescent="0.35"/>
  <cols>
    <col min="1" max="1" width="27.54296875" customWidth="1"/>
    <col min="2" max="2" width="11.1796875" customWidth="1"/>
    <col min="3" max="3" width="9" bestFit="1" customWidth="1"/>
    <col min="4" max="28" width="14.54296875" bestFit="1" customWidth="1"/>
  </cols>
  <sheetData>
    <row r="2" spans="1:28" x14ac:dyDescent="0.35">
      <c r="A2" s="23" t="s">
        <v>60</v>
      </c>
      <c r="B2" t="s">
        <v>6</v>
      </c>
      <c r="C2" t="s">
        <v>86</v>
      </c>
      <c r="D2" t="s">
        <v>61</v>
      </c>
      <c r="E2" t="s">
        <v>62</v>
      </c>
      <c r="F2" t="s">
        <v>63</v>
      </c>
      <c r="G2" t="s">
        <v>64</v>
      </c>
      <c r="H2" t="s">
        <v>65</v>
      </c>
      <c r="I2" t="s">
        <v>66</v>
      </c>
      <c r="J2" t="s">
        <v>67</v>
      </c>
      <c r="K2" t="s">
        <v>68</v>
      </c>
      <c r="L2" t="s">
        <v>69</v>
      </c>
      <c r="M2" t="s">
        <v>70</v>
      </c>
      <c r="N2" t="s">
        <v>71</v>
      </c>
      <c r="O2" t="s">
        <v>72</v>
      </c>
      <c r="P2" t="s">
        <v>73</v>
      </c>
      <c r="Q2" t="s">
        <v>74</v>
      </c>
      <c r="R2" t="s">
        <v>75</v>
      </c>
      <c r="S2" t="s">
        <v>76</v>
      </c>
      <c r="T2" t="s">
        <v>77</v>
      </c>
      <c r="U2" t="s">
        <v>78</v>
      </c>
      <c r="V2" t="s">
        <v>79</v>
      </c>
      <c r="W2" t="s">
        <v>80</v>
      </c>
      <c r="X2" t="s">
        <v>81</v>
      </c>
      <c r="Y2" t="s">
        <v>82</v>
      </c>
      <c r="Z2" t="s">
        <v>83</v>
      </c>
      <c r="AA2" t="s">
        <v>84</v>
      </c>
      <c r="AB2" t="s">
        <v>85</v>
      </c>
    </row>
    <row r="3" spans="1:28" x14ac:dyDescent="0.35">
      <c r="A3" t="s">
        <v>93</v>
      </c>
      <c r="B3" s="28" t="s">
        <v>89</v>
      </c>
      <c r="C3" s="25">
        <f>'02_Operations'!C9</f>
        <v>0</v>
      </c>
      <c r="D3" s="25">
        <f>'02_Operations'!D9</f>
        <v>106223.75999999998</v>
      </c>
      <c r="E3" s="25">
        <f>'02_Operations'!E9</f>
        <v>105692.64119999998</v>
      </c>
      <c r="F3" s="25">
        <f>'02_Operations'!F9</f>
        <v>105164.17799399998</v>
      </c>
      <c r="G3" s="25">
        <f>'02_Operations'!G9</f>
        <v>104638.35710402997</v>
      </c>
      <c r="H3" s="25">
        <f>'02_Operations'!H9</f>
        <v>104115.16531850983</v>
      </c>
      <c r="I3" s="25">
        <f>'02_Operations'!I9</f>
        <v>103594.58949191727</v>
      </c>
      <c r="J3" s="25">
        <f>'02_Operations'!J9</f>
        <v>103076.61654445768</v>
      </c>
      <c r="K3" s="25">
        <f>'02_Operations'!K9</f>
        <v>102561.23346173539</v>
      </c>
      <c r="L3" s="25">
        <f>'02_Operations'!L9</f>
        <v>102048.42729442671</v>
      </c>
      <c r="M3" s="25">
        <f>'02_Operations'!M9</f>
        <v>101538.18515795458</v>
      </c>
      <c r="N3" s="25">
        <f>'02_Operations'!N9</f>
        <v>101030.4942321648</v>
      </c>
      <c r="O3" s="25">
        <f>'02_Operations'!O9</f>
        <v>100525.34176100398</v>
      </c>
      <c r="P3" s="25">
        <f>'02_Operations'!P9</f>
        <v>100022.71505219895</v>
      </c>
      <c r="Q3" s="25">
        <f>'02_Operations'!Q9</f>
        <v>99522.601476937969</v>
      </c>
      <c r="R3" s="25">
        <f>'02_Operations'!R9</f>
        <v>99024.988469553282</v>
      </c>
      <c r="S3" s="25">
        <f>'02_Operations'!S9</f>
        <v>98529.863527205511</v>
      </c>
      <c r="T3" s="25">
        <f>'02_Operations'!T9</f>
        <v>98037.214209569487</v>
      </c>
      <c r="U3" s="25">
        <f>'02_Operations'!U9</f>
        <v>97547.028138521651</v>
      </c>
      <c r="V3" s="25">
        <f>'02_Operations'!V9</f>
        <v>97059.292997829034</v>
      </c>
      <c r="W3" s="25">
        <f>'02_Operations'!W9</f>
        <v>96573.996532839898</v>
      </c>
      <c r="X3" s="25">
        <f>'02_Operations'!X9</f>
        <v>96091.126550175701</v>
      </c>
      <c r="Y3" s="25">
        <f>'02_Operations'!Y9</f>
        <v>95610.67091742481</v>
      </c>
      <c r="Z3" s="25">
        <f>'02_Operations'!Z9</f>
        <v>95132.61756283768</v>
      </c>
      <c r="AA3" s="25">
        <f>'02_Operations'!AA9</f>
        <v>94656.954475023493</v>
      </c>
      <c r="AB3" s="25">
        <f>'02_Operations'!AB9</f>
        <v>94183.669702648374</v>
      </c>
    </row>
    <row r="4" spans="1:28" x14ac:dyDescent="0.35">
      <c r="A4" s="25" t="s">
        <v>28</v>
      </c>
      <c r="B4" s="28" t="s">
        <v>97</v>
      </c>
      <c r="C4" s="25">
        <v>59</v>
      </c>
      <c r="D4" s="33">
        <f>Table35[[#This Row],[Year 0]]*(1+'01_Assumptions'!$B$15)</f>
        <v>60.18</v>
      </c>
      <c r="E4" s="33">
        <f>Table35[[#This Row],[Year 1]]*(1+'01_Assumptions'!$B$15)</f>
        <v>61.383600000000001</v>
      </c>
      <c r="F4" s="33">
        <f>Table35[[#This Row],[Year 2]]*(1+'01_Assumptions'!$B$15)</f>
        <v>62.611272</v>
      </c>
      <c r="G4" s="33">
        <f>Table35[[#This Row],[Year 3]]*(1+'01_Assumptions'!$B$15)</f>
        <v>63.863497440000003</v>
      </c>
      <c r="H4" s="33">
        <f>Table35[[#This Row],[Year 4]]*(1+'01_Assumptions'!$B$15)</f>
        <v>65.140767388800001</v>
      </c>
      <c r="I4" s="33">
        <f>Table35[[#This Row],[Year 5]]*(1+'01_Assumptions'!$B$15)</f>
        <v>66.443582736576005</v>
      </c>
      <c r="J4" s="33">
        <f>Table35[[#This Row],[Year 6]]*(1+'01_Assumptions'!$B$15)</f>
        <v>67.772454391307519</v>
      </c>
      <c r="K4" s="33">
        <f>Table35[[#This Row],[Year 7]]*(1+'01_Assumptions'!$B$15)</f>
        <v>69.127903479133664</v>
      </c>
      <c r="L4" s="33">
        <f>Table35[[#This Row],[Year 8]]*(1+'01_Assumptions'!$B$15)</f>
        <v>70.510461548716336</v>
      </c>
      <c r="M4" s="33">
        <f>Table35[[#This Row],[Year 9]]*(1+'01_Assumptions'!$B$15)</f>
        <v>71.920670779690667</v>
      </c>
      <c r="N4" s="33">
        <f>Table35[[#This Row],[Year 10]]*(1+'01_Assumptions'!$B$15)</f>
        <v>73.359084195284481</v>
      </c>
      <c r="O4" s="33">
        <f>Table35[[#This Row],[Year 11]]*(1+'01_Assumptions'!$B$15)</f>
        <v>74.826265879190174</v>
      </c>
      <c r="P4" s="33">
        <f>Table35[[#This Row],[Year 12]]*(1+'01_Assumptions'!$B$15)</f>
        <v>76.322791196773977</v>
      </c>
      <c r="Q4" s="33">
        <f>Table35[[#This Row],[Year 13]]*(1+'01_Assumptions'!$B$15)</f>
        <v>77.849247020709456</v>
      </c>
      <c r="R4" s="33">
        <f>Table35[[#This Row],[Year 14]]*(1+'01_Assumptions'!$B$15)</f>
        <v>79.406231961123652</v>
      </c>
      <c r="S4" s="33">
        <f>Table35[[#This Row],[Year 15]]*(1+'01_Assumptions'!$B$15)</f>
        <v>80.994356600346123</v>
      </c>
      <c r="T4" s="33">
        <f>Table35[[#This Row],[Year 16]]*(1+'01_Assumptions'!$B$15)</f>
        <v>82.614243732353046</v>
      </c>
      <c r="U4" s="33">
        <f>Table35[[#This Row],[Year 17]]*(1+'01_Assumptions'!$B$15)</f>
        <v>84.266528607000112</v>
      </c>
      <c r="V4" s="33">
        <f>Table35[[#This Row],[Year 18]]*(1+'01_Assumptions'!$B$15)</f>
        <v>85.951859179140115</v>
      </c>
      <c r="W4" s="33">
        <f>Table35[[#This Row],[Year 19]]*(1+'01_Assumptions'!$B$15)</f>
        <v>87.670896362722914</v>
      </c>
      <c r="X4" s="33">
        <f>Table35[[#This Row],[Year 20]]*(1+'01_Assumptions'!$B$15)</f>
        <v>89.424314289977374</v>
      </c>
      <c r="Y4" s="33">
        <f>Table35[[#This Row],[Year 21]]*(1+'01_Assumptions'!$B$15)</f>
        <v>91.212800575776924</v>
      </c>
      <c r="Z4" s="33">
        <f>Table35[[#This Row],[Year 22]]*(1+'01_Assumptions'!$B$15)</f>
        <v>93.037056587292469</v>
      </c>
      <c r="AA4" s="33">
        <f>Table35[[#This Row],[Year 23]]*(1+'01_Assumptions'!$B$15)</f>
        <v>94.897797719038323</v>
      </c>
      <c r="AB4" s="33">
        <f>Table35[[#This Row],[Year 24]]*(1+'01_Assumptions'!$B$15)</f>
        <v>96.795753673419085</v>
      </c>
    </row>
    <row r="5" spans="1:28" x14ac:dyDescent="0.35">
      <c r="A5" t="s">
        <v>96</v>
      </c>
      <c r="B5" s="24" t="s">
        <v>25</v>
      </c>
      <c r="C5" s="32">
        <f>C4*C3</f>
        <v>0</v>
      </c>
      <c r="D5" s="32">
        <f>D4*D3</f>
        <v>6392545.8767999988</v>
      </c>
      <c r="E5" s="32">
        <f>E4*E3</f>
        <v>6487794.810364319</v>
      </c>
      <c r="F5" s="32">
        <f>F4*F3</f>
        <v>6584462.9530387474</v>
      </c>
      <c r="G5" s="32">
        <f t="shared" ref="G5:AB5" si="0">G4*G3</f>
        <v>6682571.4510390246</v>
      </c>
      <c r="H5" s="32">
        <f t="shared" si="0"/>
        <v>6782141.7656595055</v>
      </c>
      <c r="I5" s="32">
        <f t="shared" si="0"/>
        <v>6883195.6779678324</v>
      </c>
      <c r="J5" s="32">
        <f t="shared" si="0"/>
        <v>6985755.2935695518</v>
      </c>
      <c r="K5" s="32">
        <f t="shared" si="0"/>
        <v>7089843.0474437382</v>
      </c>
      <c r="L5" s="32">
        <f t="shared" si="0"/>
        <v>7195481.7088506492</v>
      </c>
      <c r="M5" s="32">
        <f t="shared" si="0"/>
        <v>7302694.3863125239</v>
      </c>
      <c r="N5" s="32">
        <f t="shared" si="0"/>
        <v>7411504.5326685803</v>
      </c>
      <c r="O5" s="32">
        <f t="shared" si="0"/>
        <v>7521935.9502053428</v>
      </c>
      <c r="P5" s="32">
        <f t="shared" si="0"/>
        <v>7634012.7958634021</v>
      </c>
      <c r="Q5" s="32">
        <f t="shared" si="0"/>
        <v>7747759.586521768</v>
      </c>
      <c r="R5" s="32">
        <f t="shared" si="0"/>
        <v>7863201.2043609433</v>
      </c>
      <c r="S5" s="32">
        <f t="shared" si="0"/>
        <v>7980362.9023059206</v>
      </c>
      <c r="T5" s="32">
        <f t="shared" si="0"/>
        <v>8099270.3095502788</v>
      </c>
      <c r="U5" s="32">
        <f t="shared" si="0"/>
        <v>8219949.43716258</v>
      </c>
      <c r="V5" s="32">
        <f t="shared" si="0"/>
        <v>8342426.6837763013</v>
      </c>
      <c r="W5" s="32">
        <f t="shared" si="0"/>
        <v>8466728.8413645681</v>
      </c>
      <c r="X5" s="32">
        <f t="shared" si="0"/>
        <v>8592883.1011009011</v>
      </c>
      <c r="Y5" s="32">
        <f t="shared" si="0"/>
        <v>8720917.0593073033</v>
      </c>
      <c r="Z5" s="32">
        <f t="shared" si="0"/>
        <v>8850858.7234909832</v>
      </c>
      <c r="AA5" s="32">
        <f t="shared" si="0"/>
        <v>8982736.5184709989</v>
      </c>
      <c r="AB5" s="32">
        <f>AB4*AB3</f>
        <v>9116579.2925962154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FF2CA-4A12-4220-ABCD-032CA93701D4}">
  <dimension ref="A2:AB16"/>
  <sheetViews>
    <sheetView topLeftCell="Q1" workbookViewId="0">
      <selection activeCell="Z12" sqref="Z12"/>
    </sheetView>
  </sheetViews>
  <sheetFormatPr defaultRowHeight="14.5" x14ac:dyDescent="0.35"/>
  <cols>
    <col min="1" max="1" width="45.1796875" customWidth="1"/>
    <col min="3" max="3" width="13" customWidth="1"/>
    <col min="4" max="4" width="17.54296875" customWidth="1"/>
    <col min="5" max="28" width="13" customWidth="1"/>
  </cols>
  <sheetData>
    <row r="2" spans="1:28" s="7" customFormat="1" x14ac:dyDescent="0.35">
      <c r="A2" s="42" t="s">
        <v>4</v>
      </c>
      <c r="B2" s="42" t="s">
        <v>6</v>
      </c>
      <c r="C2" s="42" t="s">
        <v>86</v>
      </c>
      <c r="D2" s="42" t="s">
        <v>61</v>
      </c>
      <c r="E2" s="42" t="s">
        <v>62</v>
      </c>
      <c r="F2" s="42" t="s">
        <v>63</v>
      </c>
      <c r="G2" s="42" t="s">
        <v>64</v>
      </c>
      <c r="H2" s="42" t="s">
        <v>65</v>
      </c>
      <c r="I2" s="42" t="s">
        <v>66</v>
      </c>
      <c r="J2" s="42" t="s">
        <v>67</v>
      </c>
      <c r="K2" s="42" t="s">
        <v>68</v>
      </c>
      <c r="L2" s="42" t="s">
        <v>69</v>
      </c>
      <c r="M2" s="42" t="s">
        <v>70</v>
      </c>
      <c r="N2" s="42" t="s">
        <v>71</v>
      </c>
      <c r="O2" s="42" t="s">
        <v>72</v>
      </c>
      <c r="P2" s="42" t="s">
        <v>73</v>
      </c>
      <c r="Q2" s="42" t="s">
        <v>74</v>
      </c>
      <c r="R2" s="42" t="s">
        <v>75</v>
      </c>
      <c r="S2" s="42" t="s">
        <v>76</v>
      </c>
      <c r="T2" s="42" t="s">
        <v>77</v>
      </c>
      <c r="U2" s="42" t="s">
        <v>78</v>
      </c>
      <c r="V2" s="42" t="s">
        <v>79</v>
      </c>
      <c r="W2" s="42" t="s">
        <v>80</v>
      </c>
      <c r="X2" s="42" t="s">
        <v>81</v>
      </c>
      <c r="Y2" s="42" t="s">
        <v>82</v>
      </c>
      <c r="Z2" s="42" t="s">
        <v>83</v>
      </c>
      <c r="AA2" s="42" t="s">
        <v>84</v>
      </c>
      <c r="AB2" s="43" t="s">
        <v>85</v>
      </c>
    </row>
    <row r="3" spans="1:28" x14ac:dyDescent="0.35">
      <c r="A3" s="36" t="s">
        <v>96</v>
      </c>
      <c r="B3" s="24" t="s">
        <v>25</v>
      </c>
      <c r="C3" s="32">
        <f>'03_Revenues'!C5</f>
        <v>0</v>
      </c>
      <c r="D3" s="32">
        <f>'03_Revenues'!D5</f>
        <v>6392545.8767999988</v>
      </c>
      <c r="E3" s="32">
        <f>'03_Revenues'!E5</f>
        <v>6487794.810364319</v>
      </c>
      <c r="F3" s="32">
        <f>'03_Revenues'!F5</f>
        <v>6584462.9530387474</v>
      </c>
      <c r="G3" s="32">
        <f>'03_Revenues'!G5</f>
        <v>6682571.4510390246</v>
      </c>
      <c r="H3" s="32">
        <f>'03_Revenues'!H5</f>
        <v>6782141.7656595055</v>
      </c>
      <c r="I3" s="32">
        <f>'03_Revenues'!I5</f>
        <v>6883195.6779678324</v>
      </c>
      <c r="J3" s="32">
        <f>'03_Revenues'!J5</f>
        <v>6985755.2935695518</v>
      </c>
      <c r="K3" s="32">
        <f>'03_Revenues'!K5</f>
        <v>7089843.0474437382</v>
      </c>
      <c r="L3" s="32">
        <f>'03_Revenues'!L5</f>
        <v>7195481.7088506492</v>
      </c>
      <c r="M3" s="32">
        <f>'03_Revenues'!M5</f>
        <v>7302694.3863125239</v>
      </c>
      <c r="N3" s="32">
        <f>'03_Revenues'!N5</f>
        <v>7411504.5326685803</v>
      </c>
      <c r="O3" s="32">
        <f>'03_Revenues'!O5</f>
        <v>7521935.9502053428</v>
      </c>
      <c r="P3" s="32">
        <f>'03_Revenues'!P5</f>
        <v>7634012.7958634021</v>
      </c>
      <c r="Q3" s="32">
        <f>'03_Revenues'!Q5</f>
        <v>7747759.586521768</v>
      </c>
      <c r="R3" s="32">
        <f>'03_Revenues'!R5</f>
        <v>7863201.2043609433</v>
      </c>
      <c r="S3" s="32">
        <f>'03_Revenues'!S5</f>
        <v>7980362.9023059206</v>
      </c>
      <c r="T3" s="32">
        <f>'03_Revenues'!T5</f>
        <v>8099270.3095502788</v>
      </c>
      <c r="U3" s="32">
        <f>'03_Revenues'!U5</f>
        <v>8219949.43716258</v>
      </c>
      <c r="V3" s="32">
        <f>'03_Revenues'!V5</f>
        <v>8342426.6837763013</v>
      </c>
      <c r="W3" s="32">
        <f>'03_Revenues'!W5</f>
        <v>8466728.8413645681</v>
      </c>
      <c r="X3" s="32">
        <f>'03_Revenues'!X5</f>
        <v>8592883.1011009011</v>
      </c>
      <c r="Y3" s="32">
        <f>'03_Revenues'!Y5</f>
        <v>8720917.0593073033</v>
      </c>
      <c r="Z3" s="32">
        <f>'03_Revenues'!Z5</f>
        <v>8850858.7234909832</v>
      </c>
      <c r="AA3" s="32">
        <f>'03_Revenues'!AA5</f>
        <v>8982736.5184709989</v>
      </c>
      <c r="AB3" s="32">
        <f>'03_Revenues'!AB5</f>
        <v>9116579.2925962154</v>
      </c>
    </row>
    <row r="4" spans="1:28" x14ac:dyDescent="0.35">
      <c r="A4" t="s">
        <v>11</v>
      </c>
      <c r="B4" s="24" t="s">
        <v>25</v>
      </c>
      <c r="C4" s="32">
        <v>0</v>
      </c>
      <c r="D4" s="32">
        <f>'01_Assumptions'!$B$12*(10^6)*(1+'01_Assumptions'!B15)</f>
        <v>1122000</v>
      </c>
      <c r="E4" s="32">
        <f>Table5[[#This Row],[Year 1]]*(1+'01_Assumptions'!$B$15)</f>
        <v>1144440</v>
      </c>
      <c r="F4" s="32">
        <f>Table5[[#This Row],[Year 2]]*(1+'01_Assumptions'!$B$15)</f>
        <v>1167328.8</v>
      </c>
      <c r="G4" s="32">
        <f>Table5[[#This Row],[Year 3]]*(1+'01_Assumptions'!$B$15)</f>
        <v>1190675.3760000002</v>
      </c>
      <c r="H4" s="32">
        <f>Table5[[#This Row],[Year 4]]*(1+'01_Assumptions'!$B$15)</f>
        <v>1214488.8835200001</v>
      </c>
      <c r="I4" s="32">
        <f>Table5[[#This Row],[Year 5]]*(1+'01_Assumptions'!$B$15)</f>
        <v>1238778.6611904001</v>
      </c>
      <c r="J4" s="32">
        <f>Table5[[#This Row],[Year 6]]*(1+'01_Assumptions'!$B$15)</f>
        <v>1263554.2344142082</v>
      </c>
      <c r="K4" s="32">
        <f>Table5[[#This Row],[Year 7]]*(1+'01_Assumptions'!$B$15)</f>
        <v>1288825.3191024924</v>
      </c>
      <c r="L4" s="32">
        <f>Table5[[#This Row],[Year 8]]*(1+'01_Assumptions'!$B$15)</f>
        <v>1314601.8254845422</v>
      </c>
      <c r="M4" s="32">
        <f>Table5[[#This Row],[Year 9]]*(1+'01_Assumptions'!$B$15)</f>
        <v>1340893.861994233</v>
      </c>
      <c r="N4" s="32">
        <f>Table5[[#This Row],[Year 10]]*(1+'01_Assumptions'!$B$15)</f>
        <v>1367711.7392341176</v>
      </c>
      <c r="O4" s="32">
        <f>Table5[[#This Row],[Year 11]]*(1+'01_Assumptions'!$B$15)</f>
        <v>1395065.9740187998</v>
      </c>
      <c r="P4" s="32">
        <f>Table5[[#This Row],[Year 12]]*(1+'01_Assumptions'!$B$15)</f>
        <v>1422967.2934991759</v>
      </c>
      <c r="Q4" s="32">
        <f>Table5[[#This Row],[Year 13]]*(1+'01_Assumptions'!$B$15)</f>
        <v>1451426.6393691595</v>
      </c>
      <c r="R4" s="32">
        <f>Table5[[#This Row],[Year 14]]*(1+'01_Assumptions'!$B$15)</f>
        <v>1480455.1721565428</v>
      </c>
      <c r="S4" s="32">
        <f>Table5[[#This Row],[Year 15]]*(1+'01_Assumptions'!$B$15)</f>
        <v>1510064.2755996736</v>
      </c>
      <c r="T4" s="32">
        <f>Table5[[#This Row],[Year 16]]*(1+'01_Assumptions'!$B$15)</f>
        <v>1540265.5611116672</v>
      </c>
      <c r="U4" s="32">
        <f>Table5[[#This Row],[Year 17]]*(1+'01_Assumptions'!$B$15)</f>
        <v>1571070.8723339005</v>
      </c>
      <c r="V4" s="32">
        <f>Table5[[#This Row],[Year 18]]*(1+'01_Assumptions'!$B$15)</f>
        <v>1602492.2897805786</v>
      </c>
      <c r="W4" s="32">
        <f>Table5[[#This Row],[Year 19]]*(1+'01_Assumptions'!$B$15)</f>
        <v>1634542.1355761902</v>
      </c>
      <c r="X4" s="32">
        <f>Table5[[#This Row],[Year 20]]*(1+'01_Assumptions'!$B$15)</f>
        <v>1667232.9782877141</v>
      </c>
      <c r="Y4" s="32">
        <f>Table5[[#This Row],[Year 21]]*(1+'01_Assumptions'!$B$15)</f>
        <v>1700577.6378534683</v>
      </c>
      <c r="Z4" s="32">
        <f>Table5[[#This Row],[Year 22]]*(1+'01_Assumptions'!$B$15)</f>
        <v>1734589.1906105378</v>
      </c>
      <c r="AA4" s="32">
        <f>Table5[[#This Row],[Year 23]]*(1+'01_Assumptions'!$B$15)</f>
        <v>1769280.9744227487</v>
      </c>
      <c r="AB4" s="32">
        <f>Table5[[#This Row],[Year 24]]*(1+'01_Assumptions'!$B$15)</f>
        <v>1804666.5939112036</v>
      </c>
    </row>
    <row r="5" spans="1:28" x14ac:dyDescent="0.35">
      <c r="A5" t="s">
        <v>104</v>
      </c>
      <c r="B5" s="24" t="s">
        <v>25</v>
      </c>
      <c r="C5" s="32">
        <v>0</v>
      </c>
      <c r="D5" s="32">
        <f>D3-D4</f>
        <v>5270545.8767999988</v>
      </c>
      <c r="E5" s="32">
        <f t="shared" ref="E5:AB5" si="0">E3-E4</f>
        <v>5343354.810364319</v>
      </c>
      <c r="F5" s="32">
        <f t="shared" si="0"/>
        <v>5417134.1530387476</v>
      </c>
      <c r="G5" s="32">
        <f t="shared" si="0"/>
        <v>5491896.0750390245</v>
      </c>
      <c r="H5" s="32">
        <f t="shared" si="0"/>
        <v>5567652.8821395058</v>
      </c>
      <c r="I5" s="32">
        <f t="shared" si="0"/>
        <v>5644417.0167774325</v>
      </c>
      <c r="J5" s="32">
        <f t="shared" si="0"/>
        <v>5722201.0591553431</v>
      </c>
      <c r="K5" s="32">
        <f t="shared" si="0"/>
        <v>5801017.728341246</v>
      </c>
      <c r="L5" s="32">
        <f t="shared" si="0"/>
        <v>5880879.883366107</v>
      </c>
      <c r="M5" s="32">
        <f t="shared" si="0"/>
        <v>5961800.5243182909</v>
      </c>
      <c r="N5" s="32">
        <f t="shared" si="0"/>
        <v>6043792.7934344625</v>
      </c>
      <c r="O5" s="32">
        <f t="shared" si="0"/>
        <v>6126869.9761865428</v>
      </c>
      <c r="P5" s="32">
        <f t="shared" si="0"/>
        <v>6211045.5023642257</v>
      </c>
      <c r="Q5" s="32">
        <f t="shared" si="0"/>
        <v>6296332.947152609</v>
      </c>
      <c r="R5" s="32">
        <f t="shared" si="0"/>
        <v>6382746.0322044007</v>
      </c>
      <c r="S5" s="32">
        <f t="shared" si="0"/>
        <v>6470298.6267062472</v>
      </c>
      <c r="T5" s="32">
        <f t="shared" si="0"/>
        <v>6559004.7484386116</v>
      </c>
      <c r="U5" s="32">
        <f t="shared" si="0"/>
        <v>6648878.564828679</v>
      </c>
      <c r="V5" s="32">
        <f t="shared" si="0"/>
        <v>6739934.3939957228</v>
      </c>
      <c r="W5" s="32">
        <f t="shared" si="0"/>
        <v>6832186.7057883777</v>
      </c>
      <c r="X5" s="32">
        <f t="shared" si="0"/>
        <v>6925650.1228131875</v>
      </c>
      <c r="Y5" s="32">
        <f t="shared" si="0"/>
        <v>7020339.4214538354</v>
      </c>
      <c r="Z5" s="32">
        <f t="shared" si="0"/>
        <v>7116269.5328804459</v>
      </c>
      <c r="AA5" s="32">
        <f>AA3-AA4</f>
        <v>7213455.5440482497</v>
      </c>
      <c r="AB5" s="32">
        <f>AB3-AB4</f>
        <v>7311912.6986850118</v>
      </c>
    </row>
    <row r="8" spans="1:28" x14ac:dyDescent="0.35"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</row>
    <row r="9" spans="1:28" x14ac:dyDescent="0.35"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</row>
    <row r="15" spans="1:28" x14ac:dyDescent="0.35">
      <c r="A15" s="34" t="s">
        <v>101</v>
      </c>
    </row>
    <row r="16" spans="1:28" ht="43.5" x14ac:dyDescent="0.35">
      <c r="A16" s="35" t="s">
        <v>103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1EFB7-5B00-465C-AFE1-A78957912476}">
  <dimension ref="A2:AB19"/>
  <sheetViews>
    <sheetView topLeftCell="O1" workbookViewId="0">
      <selection activeCell="AB13" sqref="AB13"/>
    </sheetView>
  </sheetViews>
  <sheetFormatPr defaultRowHeight="14.5" x14ac:dyDescent="0.35"/>
  <cols>
    <col min="1" max="1" width="29.54296875" customWidth="1"/>
    <col min="2" max="2" width="11.6328125" customWidth="1"/>
    <col min="3" max="28" width="12.1796875" customWidth="1"/>
  </cols>
  <sheetData>
    <row r="2" spans="1:28" s="39" customFormat="1" x14ac:dyDescent="0.35">
      <c r="A2" s="37" t="s">
        <v>4</v>
      </c>
      <c r="B2" s="37" t="s">
        <v>6</v>
      </c>
      <c r="C2" s="37" t="s">
        <v>86</v>
      </c>
      <c r="D2" s="37" t="s">
        <v>61</v>
      </c>
      <c r="E2" s="37" t="s">
        <v>62</v>
      </c>
      <c r="F2" s="37" t="s">
        <v>63</v>
      </c>
      <c r="G2" s="37" t="s">
        <v>64</v>
      </c>
      <c r="H2" s="37" t="s">
        <v>65</v>
      </c>
      <c r="I2" s="37" t="s">
        <v>66</v>
      </c>
      <c r="J2" s="37" t="s">
        <v>67</v>
      </c>
      <c r="K2" s="37" t="s">
        <v>68</v>
      </c>
      <c r="L2" s="37" t="s">
        <v>69</v>
      </c>
      <c r="M2" s="37" t="s">
        <v>70</v>
      </c>
      <c r="N2" s="37" t="s">
        <v>71</v>
      </c>
      <c r="O2" s="37" t="s">
        <v>72</v>
      </c>
      <c r="P2" s="37" t="s">
        <v>73</v>
      </c>
      <c r="Q2" s="37" t="s">
        <v>74</v>
      </c>
      <c r="R2" s="37" t="s">
        <v>75</v>
      </c>
      <c r="S2" s="37" t="s">
        <v>76</v>
      </c>
      <c r="T2" s="37" t="s">
        <v>77</v>
      </c>
      <c r="U2" s="37" t="s">
        <v>78</v>
      </c>
      <c r="V2" s="37" t="s">
        <v>79</v>
      </c>
      <c r="W2" s="37" t="s">
        <v>80</v>
      </c>
      <c r="X2" s="37" t="s">
        <v>81</v>
      </c>
      <c r="Y2" s="37" t="s">
        <v>82</v>
      </c>
      <c r="Z2" s="37" t="s">
        <v>83</v>
      </c>
      <c r="AA2" s="37" t="s">
        <v>84</v>
      </c>
      <c r="AB2" s="38" t="s">
        <v>85</v>
      </c>
    </row>
    <row r="3" spans="1:28" x14ac:dyDescent="0.35">
      <c r="A3" s="36" t="s">
        <v>10</v>
      </c>
      <c r="B3" s="24" t="s">
        <v>25</v>
      </c>
      <c r="C3" s="32">
        <f>'01_Assumptions'!B11*10^6</f>
        <v>85000000</v>
      </c>
      <c r="D3" s="32">
        <v>0</v>
      </c>
      <c r="E3" s="32">
        <v>0</v>
      </c>
      <c r="F3" s="32">
        <v>0</v>
      </c>
      <c r="G3" s="32">
        <v>0</v>
      </c>
      <c r="H3" s="32">
        <v>0</v>
      </c>
      <c r="I3" s="32">
        <v>0</v>
      </c>
      <c r="J3" s="32">
        <v>0</v>
      </c>
      <c r="K3" s="32">
        <v>0</v>
      </c>
      <c r="L3" s="32">
        <v>0</v>
      </c>
      <c r="M3" s="32">
        <v>0</v>
      </c>
      <c r="N3" s="32">
        <v>0</v>
      </c>
      <c r="O3" s="32">
        <v>0</v>
      </c>
      <c r="P3" s="32">
        <v>0</v>
      </c>
      <c r="Q3" s="32">
        <v>0</v>
      </c>
      <c r="R3" s="32">
        <v>0</v>
      </c>
      <c r="S3" s="32">
        <v>0</v>
      </c>
      <c r="T3" s="32">
        <v>0</v>
      </c>
      <c r="U3" s="32">
        <v>0</v>
      </c>
      <c r="V3" s="32">
        <v>0</v>
      </c>
      <c r="W3" s="32">
        <v>0</v>
      </c>
      <c r="X3" s="32">
        <v>0</v>
      </c>
      <c r="Y3" s="32">
        <v>0</v>
      </c>
      <c r="Z3" s="32">
        <v>0</v>
      </c>
      <c r="AA3" s="32">
        <v>0</v>
      </c>
      <c r="AB3" s="32">
        <v>0</v>
      </c>
    </row>
    <row r="4" spans="1:28" x14ac:dyDescent="0.35">
      <c r="A4" t="s">
        <v>106</v>
      </c>
      <c r="B4" s="24" t="s">
        <v>8</v>
      </c>
      <c r="C4" s="45">
        <v>25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</row>
    <row r="5" spans="1:28" x14ac:dyDescent="0.35">
      <c r="A5" t="s">
        <v>111</v>
      </c>
      <c r="B5" s="24" t="s">
        <v>43</v>
      </c>
      <c r="C5" s="48" t="s">
        <v>112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</row>
    <row r="6" spans="1:28" x14ac:dyDescent="0.35">
      <c r="A6" t="s">
        <v>107</v>
      </c>
      <c r="B6" s="24" t="s">
        <v>17</v>
      </c>
      <c r="C6" s="47" t="s">
        <v>43</v>
      </c>
      <c r="D6" s="31">
        <f>1/$C$4</f>
        <v>0.04</v>
      </c>
      <c r="E6" s="31">
        <f t="shared" ref="E6:AB6" si="0">1/$C$4</f>
        <v>0.04</v>
      </c>
      <c r="F6" s="31">
        <f t="shared" si="0"/>
        <v>0.04</v>
      </c>
      <c r="G6" s="31">
        <f t="shared" si="0"/>
        <v>0.04</v>
      </c>
      <c r="H6" s="31">
        <f t="shared" si="0"/>
        <v>0.04</v>
      </c>
      <c r="I6" s="31">
        <f t="shared" si="0"/>
        <v>0.04</v>
      </c>
      <c r="J6" s="31">
        <f t="shared" si="0"/>
        <v>0.04</v>
      </c>
      <c r="K6" s="31">
        <f t="shared" si="0"/>
        <v>0.04</v>
      </c>
      <c r="L6" s="31">
        <f t="shared" si="0"/>
        <v>0.04</v>
      </c>
      <c r="M6" s="31">
        <f t="shared" si="0"/>
        <v>0.04</v>
      </c>
      <c r="N6" s="31">
        <f t="shared" si="0"/>
        <v>0.04</v>
      </c>
      <c r="O6" s="31">
        <f t="shared" si="0"/>
        <v>0.04</v>
      </c>
      <c r="P6" s="31">
        <f t="shared" si="0"/>
        <v>0.04</v>
      </c>
      <c r="Q6" s="31">
        <f t="shared" si="0"/>
        <v>0.04</v>
      </c>
      <c r="R6" s="31">
        <f t="shared" si="0"/>
        <v>0.04</v>
      </c>
      <c r="S6" s="31">
        <f t="shared" si="0"/>
        <v>0.04</v>
      </c>
      <c r="T6" s="31">
        <f t="shared" si="0"/>
        <v>0.04</v>
      </c>
      <c r="U6" s="31">
        <f t="shared" si="0"/>
        <v>0.04</v>
      </c>
      <c r="V6" s="31">
        <f t="shared" si="0"/>
        <v>0.04</v>
      </c>
      <c r="W6" s="31">
        <f t="shared" si="0"/>
        <v>0.04</v>
      </c>
      <c r="X6" s="31">
        <f t="shared" si="0"/>
        <v>0.04</v>
      </c>
      <c r="Y6" s="31">
        <f t="shared" si="0"/>
        <v>0.04</v>
      </c>
      <c r="Z6" s="31">
        <f t="shared" si="0"/>
        <v>0.04</v>
      </c>
      <c r="AA6" s="31">
        <f t="shared" si="0"/>
        <v>0.04</v>
      </c>
      <c r="AB6" s="31">
        <f t="shared" si="0"/>
        <v>0.04</v>
      </c>
    </row>
    <row r="7" spans="1:28" x14ac:dyDescent="0.35">
      <c r="A7" t="s">
        <v>108</v>
      </c>
      <c r="B7" s="24" t="s">
        <v>25</v>
      </c>
      <c r="C7" s="46">
        <f>0</f>
        <v>0</v>
      </c>
      <c r="D7" s="32">
        <f>$C$3*D6</f>
        <v>3400000</v>
      </c>
      <c r="E7" s="32">
        <f>$C$3*E6</f>
        <v>3400000</v>
      </c>
      <c r="F7" s="32">
        <f t="shared" ref="F7:K7" si="1">$C$3*F6</f>
        <v>3400000</v>
      </c>
      <c r="G7" s="32">
        <f t="shared" si="1"/>
        <v>3400000</v>
      </c>
      <c r="H7" s="32">
        <f t="shared" si="1"/>
        <v>3400000</v>
      </c>
      <c r="I7" s="32">
        <f t="shared" si="1"/>
        <v>3400000</v>
      </c>
      <c r="J7" s="32">
        <f t="shared" si="1"/>
        <v>3400000</v>
      </c>
      <c r="K7" s="32">
        <f t="shared" si="1"/>
        <v>3400000</v>
      </c>
      <c r="L7" s="32">
        <f t="shared" ref="L7" si="2">$C$3*L6</f>
        <v>3400000</v>
      </c>
      <c r="M7" s="32">
        <f t="shared" ref="M7" si="3">$C$3*M6</f>
        <v>3400000</v>
      </c>
      <c r="N7" s="32">
        <f t="shared" ref="N7" si="4">$C$3*N6</f>
        <v>3400000</v>
      </c>
      <c r="O7" s="32">
        <f t="shared" ref="O7" si="5">$C$3*O6</f>
        <v>3400000</v>
      </c>
      <c r="P7" s="32">
        <f t="shared" ref="P7:R7" si="6">$C$3*P6</f>
        <v>3400000</v>
      </c>
      <c r="Q7" s="32">
        <f t="shared" si="6"/>
        <v>3400000</v>
      </c>
      <c r="R7" s="32">
        <f t="shared" si="6"/>
        <v>3400000</v>
      </c>
      <c r="S7" s="32">
        <f t="shared" ref="S7" si="7">$C$3*S6</f>
        <v>3400000</v>
      </c>
      <c r="T7" s="32">
        <f t="shared" ref="T7" si="8">$C$3*T6</f>
        <v>3400000</v>
      </c>
      <c r="U7" s="32">
        <f t="shared" ref="U7" si="9">$C$3*U6</f>
        <v>3400000</v>
      </c>
      <c r="V7" s="32">
        <f t="shared" ref="V7" si="10">$C$3*V6</f>
        <v>3400000</v>
      </c>
      <c r="W7" s="32">
        <f t="shared" ref="W7:Y7" si="11">$C$3*W6</f>
        <v>3400000</v>
      </c>
      <c r="X7" s="32">
        <f t="shared" si="11"/>
        <v>3400000</v>
      </c>
      <c r="Y7" s="32">
        <f t="shared" si="11"/>
        <v>3400000</v>
      </c>
      <c r="Z7" s="32">
        <f t="shared" ref="Z7" si="12">$C$3*Z6</f>
        <v>3400000</v>
      </c>
      <c r="AA7" s="32">
        <f t="shared" ref="AA7" si="13">$C$3*AA6</f>
        <v>3400000</v>
      </c>
      <c r="AB7" s="32">
        <f>$C$3*AB6</f>
        <v>3400000</v>
      </c>
    </row>
    <row r="8" spans="1:28" x14ac:dyDescent="0.35">
      <c r="A8" t="s">
        <v>109</v>
      </c>
      <c r="B8" s="24" t="s">
        <v>25</v>
      </c>
      <c r="C8" s="46">
        <f>C7</f>
        <v>0</v>
      </c>
      <c r="D8" s="32">
        <f>D7</f>
        <v>3400000</v>
      </c>
      <c r="E8" s="46">
        <f>Table57[[#This Row],[Year 1]]+E7</f>
        <v>6800000</v>
      </c>
      <c r="F8" s="46">
        <f>Table57[[#This Row],[Year 2]]+F7</f>
        <v>10200000</v>
      </c>
      <c r="G8" s="46">
        <f>Table57[[#This Row],[Year 3]]+G7</f>
        <v>13600000</v>
      </c>
      <c r="H8" s="46">
        <f>Table57[[#This Row],[Year 4]]+H7</f>
        <v>17000000</v>
      </c>
      <c r="I8" s="46">
        <f>Table57[[#This Row],[Year 5]]+I7</f>
        <v>20400000</v>
      </c>
      <c r="J8" s="46">
        <f>Table57[[#This Row],[Year 6]]+J7</f>
        <v>23800000</v>
      </c>
      <c r="K8" s="46">
        <f>Table57[[#This Row],[Year 7]]+K7</f>
        <v>27200000</v>
      </c>
      <c r="L8" s="46">
        <f>Table57[[#This Row],[Year 8]]+L7</f>
        <v>30600000</v>
      </c>
      <c r="M8" s="46">
        <f>Table57[[#This Row],[Year 9]]+M7</f>
        <v>34000000</v>
      </c>
      <c r="N8" s="46">
        <f>Table57[[#This Row],[Year 10]]+N7</f>
        <v>37400000</v>
      </c>
      <c r="O8" s="46">
        <f>Table57[[#This Row],[Year 11]]+O7</f>
        <v>40800000</v>
      </c>
      <c r="P8" s="46">
        <f>Table57[[#This Row],[Year 12]]+P7</f>
        <v>44200000</v>
      </c>
      <c r="Q8" s="46">
        <f>Table57[[#This Row],[Year 13]]+Q7</f>
        <v>47600000</v>
      </c>
      <c r="R8" s="46">
        <f>Table57[[#This Row],[Year 14]]+R7</f>
        <v>51000000</v>
      </c>
      <c r="S8" s="46">
        <f>Table57[[#This Row],[Year 15]]+S7</f>
        <v>54400000</v>
      </c>
      <c r="T8" s="46">
        <f>Table57[[#This Row],[Year 16]]+T7</f>
        <v>57800000</v>
      </c>
      <c r="U8" s="46">
        <f>Table57[[#This Row],[Year 17]]+U7</f>
        <v>61200000</v>
      </c>
      <c r="V8" s="46">
        <f>Table57[[#This Row],[Year 18]]+V7</f>
        <v>64600000</v>
      </c>
      <c r="W8" s="46">
        <f>Table57[[#This Row],[Year 19]]+W7</f>
        <v>68000000</v>
      </c>
      <c r="X8" s="46">
        <f>Table57[[#This Row],[Year 20]]+X7</f>
        <v>71400000</v>
      </c>
      <c r="Y8" s="46">
        <f>Table57[[#This Row],[Year 21]]+Y7</f>
        <v>74800000</v>
      </c>
      <c r="Z8" s="46">
        <f>Table57[[#This Row],[Year 22]]+Z7</f>
        <v>78200000</v>
      </c>
      <c r="AA8" s="46">
        <f>Table57[[#This Row],[Year 23]]+AA7</f>
        <v>81600000</v>
      </c>
      <c r="AB8" s="46">
        <f>Table57[[#This Row],[Year 24]]+AB7</f>
        <v>85000000</v>
      </c>
    </row>
    <row r="9" spans="1:28" x14ac:dyDescent="0.35">
      <c r="A9" t="s">
        <v>110</v>
      </c>
      <c r="B9" s="24" t="s">
        <v>25</v>
      </c>
      <c r="C9" s="46">
        <f>C3-C8</f>
        <v>85000000</v>
      </c>
      <c r="D9" s="32">
        <f>C9-D7</f>
        <v>81600000</v>
      </c>
      <c r="E9" s="32">
        <f>D9-E7</f>
        <v>78200000</v>
      </c>
      <c r="F9" s="32">
        <f t="shared" ref="E9:AB9" si="14">E9-F7</f>
        <v>74800000</v>
      </c>
      <c r="G9" s="32">
        <f t="shared" si="14"/>
        <v>71400000</v>
      </c>
      <c r="H9" s="32">
        <f t="shared" si="14"/>
        <v>68000000</v>
      </c>
      <c r="I9" s="32">
        <f t="shared" si="14"/>
        <v>64600000</v>
      </c>
      <c r="J9" s="32">
        <f t="shared" si="14"/>
        <v>61200000</v>
      </c>
      <c r="K9" s="32">
        <f t="shared" si="14"/>
        <v>57800000</v>
      </c>
      <c r="L9" s="32">
        <f t="shared" si="14"/>
        <v>54400000</v>
      </c>
      <c r="M9" s="32">
        <f t="shared" si="14"/>
        <v>51000000</v>
      </c>
      <c r="N9" s="32">
        <f t="shared" si="14"/>
        <v>47600000</v>
      </c>
      <c r="O9" s="32">
        <f t="shared" si="14"/>
        <v>44200000</v>
      </c>
      <c r="P9" s="32">
        <f t="shared" si="14"/>
        <v>40800000</v>
      </c>
      <c r="Q9" s="32">
        <f t="shared" si="14"/>
        <v>37400000</v>
      </c>
      <c r="R9" s="32">
        <f t="shared" si="14"/>
        <v>34000000</v>
      </c>
      <c r="S9" s="32">
        <f t="shared" si="14"/>
        <v>30600000</v>
      </c>
      <c r="T9" s="32">
        <f t="shared" si="14"/>
        <v>27200000</v>
      </c>
      <c r="U9" s="32">
        <f t="shared" si="14"/>
        <v>23800000</v>
      </c>
      <c r="V9" s="32">
        <f t="shared" si="14"/>
        <v>20400000</v>
      </c>
      <c r="W9" s="32">
        <f t="shared" si="14"/>
        <v>17000000</v>
      </c>
      <c r="X9" s="32">
        <f t="shared" si="14"/>
        <v>13600000</v>
      </c>
      <c r="Y9" s="32">
        <f t="shared" si="14"/>
        <v>10200000</v>
      </c>
      <c r="Z9" s="32">
        <f t="shared" si="14"/>
        <v>6800000</v>
      </c>
      <c r="AA9" s="32">
        <f t="shared" si="14"/>
        <v>3400000</v>
      </c>
      <c r="AB9" s="32">
        <f t="shared" si="14"/>
        <v>0</v>
      </c>
    </row>
    <row r="18" spans="1:1" ht="29" x14ac:dyDescent="0.35">
      <c r="A18" s="34" t="s">
        <v>101</v>
      </c>
    </row>
    <row r="19" spans="1:1" ht="43.5" x14ac:dyDescent="0.35">
      <c r="A19" s="35" t="s">
        <v>105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421F4-CC5F-4058-B42C-8CCEFF88E92A}">
  <dimension ref="A2:AB12"/>
  <sheetViews>
    <sheetView zoomScaleNormal="100" workbookViewId="0">
      <selection activeCell="F13" sqref="F13"/>
    </sheetView>
  </sheetViews>
  <sheetFormatPr defaultRowHeight="14.5" x14ac:dyDescent="0.35"/>
  <cols>
    <col min="1" max="1" width="26.6328125" customWidth="1"/>
    <col min="2" max="2" width="11.26953125" customWidth="1"/>
    <col min="3" max="4" width="14.1796875" customWidth="1"/>
    <col min="5" max="5" width="16.453125" customWidth="1"/>
    <col min="6" max="28" width="14.1796875" customWidth="1"/>
  </cols>
  <sheetData>
    <row r="2" spans="1:28" s="24" customFormat="1" x14ac:dyDescent="0.35">
      <c r="A2" s="37" t="s">
        <v>4</v>
      </c>
      <c r="B2" s="37" t="s">
        <v>6</v>
      </c>
      <c r="C2" s="37" t="s">
        <v>86</v>
      </c>
      <c r="D2" s="37" t="s">
        <v>61</v>
      </c>
      <c r="E2" s="37" t="s">
        <v>62</v>
      </c>
      <c r="F2" s="37" t="s">
        <v>63</v>
      </c>
      <c r="G2" s="37" t="s">
        <v>64</v>
      </c>
      <c r="H2" s="37" t="s">
        <v>65</v>
      </c>
      <c r="I2" s="37" t="s">
        <v>66</v>
      </c>
      <c r="J2" s="37" t="s">
        <v>67</v>
      </c>
      <c r="K2" s="37" t="s">
        <v>68</v>
      </c>
      <c r="L2" s="37" t="s">
        <v>69</v>
      </c>
      <c r="M2" s="37" t="s">
        <v>70</v>
      </c>
      <c r="N2" s="37" t="s">
        <v>71</v>
      </c>
      <c r="O2" s="37" t="s">
        <v>72</v>
      </c>
      <c r="P2" s="37" t="s">
        <v>73</v>
      </c>
      <c r="Q2" s="37" t="s">
        <v>74</v>
      </c>
      <c r="R2" s="37" t="s">
        <v>75</v>
      </c>
      <c r="S2" s="37" t="s">
        <v>76</v>
      </c>
      <c r="T2" s="37" t="s">
        <v>77</v>
      </c>
      <c r="U2" s="37" t="s">
        <v>78</v>
      </c>
      <c r="V2" s="37" t="s">
        <v>79</v>
      </c>
      <c r="W2" s="37" t="s">
        <v>80</v>
      </c>
      <c r="X2" s="37" t="s">
        <v>81</v>
      </c>
      <c r="Y2" s="37" t="s">
        <v>82</v>
      </c>
      <c r="Z2" s="37" t="s">
        <v>83</v>
      </c>
      <c r="AA2" s="37" t="s">
        <v>84</v>
      </c>
      <c r="AB2" s="38" t="s">
        <v>85</v>
      </c>
    </row>
    <row r="3" spans="1:28" x14ac:dyDescent="0.35">
      <c r="A3" s="36" t="s">
        <v>10</v>
      </c>
      <c r="B3" s="24" t="s">
        <v>25</v>
      </c>
      <c r="C3" s="48">
        <f>'01_Assumptions'!B11*10^6</f>
        <v>85000000</v>
      </c>
      <c r="D3" s="36"/>
      <c r="E3" s="49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</row>
    <row r="4" spans="1:28" x14ac:dyDescent="0.35">
      <c r="A4" s="41" t="s">
        <v>120</v>
      </c>
      <c r="B4" s="24" t="s">
        <v>25</v>
      </c>
      <c r="C4" s="48" t="s">
        <v>43</v>
      </c>
      <c r="D4" s="32">
        <f>C10</f>
        <v>63750000</v>
      </c>
      <c r="E4" s="32">
        <f>D10</f>
        <v>59500000</v>
      </c>
      <c r="F4" s="32">
        <f>E10</f>
        <v>55250000</v>
      </c>
      <c r="G4" s="32">
        <f>F10</f>
        <v>51000000</v>
      </c>
      <c r="H4" s="32">
        <f t="shared" ref="H4:Q4" si="0">G10</f>
        <v>46750000</v>
      </c>
      <c r="I4" s="32">
        <f t="shared" si="0"/>
        <v>42500000</v>
      </c>
      <c r="J4" s="32">
        <f t="shared" si="0"/>
        <v>38250000</v>
      </c>
      <c r="K4" s="32">
        <f t="shared" si="0"/>
        <v>34000000</v>
      </c>
      <c r="L4" s="32">
        <f t="shared" si="0"/>
        <v>29750000</v>
      </c>
      <c r="M4" s="32">
        <f t="shared" si="0"/>
        <v>25500000</v>
      </c>
      <c r="N4" s="32">
        <f t="shared" si="0"/>
        <v>21250000</v>
      </c>
      <c r="O4" s="32">
        <f t="shared" si="0"/>
        <v>17000000</v>
      </c>
      <c r="P4" s="32">
        <f t="shared" si="0"/>
        <v>12750000</v>
      </c>
      <c r="Q4" s="32">
        <f t="shared" si="0"/>
        <v>8500000</v>
      </c>
      <c r="R4" s="32">
        <f>Q10</f>
        <v>4250000</v>
      </c>
      <c r="S4" s="32"/>
      <c r="T4" s="32"/>
      <c r="U4" s="32"/>
      <c r="V4" s="32"/>
      <c r="W4" s="32"/>
      <c r="X4" s="32"/>
      <c r="Y4" s="32"/>
      <c r="Z4" s="32"/>
      <c r="AA4" s="32"/>
      <c r="AB4" s="32"/>
    </row>
    <row r="5" spans="1:28" x14ac:dyDescent="0.35">
      <c r="A5" t="s">
        <v>113</v>
      </c>
      <c r="B5" s="24" t="s">
        <v>25</v>
      </c>
      <c r="C5" s="48">
        <f>C3*'01_Assumptions'!B23</f>
        <v>21250000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</row>
    <row r="6" spans="1:28" x14ac:dyDescent="0.35">
      <c r="A6" t="s">
        <v>117</v>
      </c>
      <c r="B6" s="24" t="s">
        <v>17</v>
      </c>
      <c r="C6" s="50">
        <f>'01_Assumptions'!B25</f>
        <v>2.2499999999999999E-2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</row>
    <row r="7" spans="1:28" x14ac:dyDescent="0.35">
      <c r="A7" t="s">
        <v>44</v>
      </c>
      <c r="B7" s="24" t="s">
        <v>8</v>
      </c>
      <c r="C7" s="51">
        <f>'01_Assumptions'!B24</f>
        <v>15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</row>
    <row r="8" spans="1:28" x14ac:dyDescent="0.35">
      <c r="A8" t="s">
        <v>114</v>
      </c>
      <c r="B8" s="24" t="s">
        <v>25</v>
      </c>
      <c r="C8" s="48" t="s">
        <v>43</v>
      </c>
      <c r="D8" s="32">
        <f>$D$4*$C$6</f>
        <v>1434375</v>
      </c>
      <c r="E8" s="32">
        <f>$E$4*$C$6</f>
        <v>1338750</v>
      </c>
      <c r="F8" s="32">
        <f>$F$4*$C$6</f>
        <v>1243125</v>
      </c>
      <c r="G8" s="32">
        <f>$G$4*$C$6</f>
        <v>1147500</v>
      </c>
      <c r="H8" s="32">
        <f>$H$4*$C$6</f>
        <v>1051875</v>
      </c>
      <c r="I8" s="32">
        <f>$I$4*$C$6</f>
        <v>956250</v>
      </c>
      <c r="J8" s="32">
        <f>$J$4*$C$6</f>
        <v>860625</v>
      </c>
      <c r="K8" s="32">
        <f>$K$4*$C$6</f>
        <v>765000</v>
      </c>
      <c r="L8" s="32">
        <f>$L$4*$C$6</f>
        <v>669375</v>
      </c>
      <c r="M8" s="32">
        <f>$M$4*$C$6</f>
        <v>573750</v>
      </c>
      <c r="N8" s="32">
        <f>$N$4*$C$6</f>
        <v>478125</v>
      </c>
      <c r="O8" s="32">
        <f>$O$4*$C$6</f>
        <v>382500</v>
      </c>
      <c r="P8" s="32">
        <f>$P$4*$C$6</f>
        <v>286875</v>
      </c>
      <c r="Q8" s="32">
        <f>$Q$4*$C$6</f>
        <v>191250</v>
      </c>
      <c r="R8" s="32">
        <f>$R$4*$C$6</f>
        <v>95625</v>
      </c>
      <c r="S8" s="32"/>
      <c r="T8" s="32"/>
      <c r="U8" s="32"/>
      <c r="V8" s="32"/>
      <c r="W8" s="32"/>
      <c r="X8" s="32"/>
      <c r="Y8" s="32"/>
      <c r="Z8" s="32"/>
      <c r="AA8" s="32"/>
      <c r="AB8" s="32"/>
    </row>
    <row r="9" spans="1:28" x14ac:dyDescent="0.35">
      <c r="A9" t="s">
        <v>115</v>
      </c>
      <c r="B9" s="24" t="s">
        <v>25</v>
      </c>
      <c r="C9" s="48">
        <v>0</v>
      </c>
      <c r="D9" s="32">
        <f>$C$10/$C$7</f>
        <v>4250000</v>
      </c>
      <c r="E9" s="32">
        <f>$C$10/$C$7</f>
        <v>4250000</v>
      </c>
      <c r="F9" s="32">
        <f t="shared" ref="F9:R9" si="1">$C$10/$C$7</f>
        <v>4250000</v>
      </c>
      <c r="G9" s="32">
        <f t="shared" si="1"/>
        <v>4250000</v>
      </c>
      <c r="H9" s="32">
        <f t="shared" si="1"/>
        <v>4250000</v>
      </c>
      <c r="I9" s="32">
        <f>$C$10/$C$7</f>
        <v>4250000</v>
      </c>
      <c r="J9" s="32">
        <f t="shared" si="1"/>
        <v>4250000</v>
      </c>
      <c r="K9" s="32">
        <f t="shared" si="1"/>
        <v>4250000</v>
      </c>
      <c r="L9" s="32">
        <f t="shared" si="1"/>
        <v>4250000</v>
      </c>
      <c r="M9" s="32">
        <f t="shared" si="1"/>
        <v>4250000</v>
      </c>
      <c r="N9" s="32">
        <f t="shared" si="1"/>
        <v>4250000</v>
      </c>
      <c r="O9" s="32">
        <f t="shared" si="1"/>
        <v>4250000</v>
      </c>
      <c r="P9" s="32">
        <f t="shared" si="1"/>
        <v>4250000</v>
      </c>
      <c r="Q9" s="32">
        <f t="shared" si="1"/>
        <v>4250000</v>
      </c>
      <c r="R9" s="32">
        <f t="shared" si="1"/>
        <v>4250000</v>
      </c>
      <c r="S9" s="32"/>
      <c r="T9" s="32"/>
      <c r="U9" s="32"/>
      <c r="V9" s="32"/>
      <c r="W9" s="32"/>
      <c r="X9" s="32"/>
      <c r="Y9" s="32"/>
      <c r="Z9" s="32"/>
      <c r="AA9" s="32"/>
      <c r="AB9" s="32"/>
    </row>
    <row r="10" spans="1:28" x14ac:dyDescent="0.35">
      <c r="A10" t="s">
        <v>119</v>
      </c>
      <c r="B10" s="24" t="s">
        <v>25</v>
      </c>
      <c r="C10" s="48">
        <f>C3*'01_Assumptions'!B22</f>
        <v>63750000</v>
      </c>
      <c r="D10" s="32">
        <f>D4-D9</f>
        <v>59500000</v>
      </c>
      <c r="E10" s="32">
        <f>E4-E9</f>
        <v>55250000</v>
      </c>
      <c r="F10" s="32">
        <f t="shared" ref="F10:Q10" si="2">F4-F9</f>
        <v>51000000</v>
      </c>
      <c r="G10" s="32">
        <f t="shared" si="2"/>
        <v>46750000</v>
      </c>
      <c r="H10" s="32">
        <f t="shared" si="2"/>
        <v>42500000</v>
      </c>
      <c r="I10" s="32">
        <f>I4-I9</f>
        <v>38250000</v>
      </c>
      <c r="J10" s="32">
        <f t="shared" si="2"/>
        <v>34000000</v>
      </c>
      <c r="K10" s="32">
        <f t="shared" si="2"/>
        <v>29750000</v>
      </c>
      <c r="L10" s="32">
        <f t="shared" si="2"/>
        <v>25500000</v>
      </c>
      <c r="M10" s="32">
        <f t="shared" si="2"/>
        <v>21250000</v>
      </c>
      <c r="N10" s="32">
        <f t="shared" si="2"/>
        <v>17000000</v>
      </c>
      <c r="O10" s="32">
        <f t="shared" si="2"/>
        <v>12750000</v>
      </c>
      <c r="P10" s="32">
        <f t="shared" si="2"/>
        <v>8500000</v>
      </c>
      <c r="Q10" s="32">
        <f t="shared" si="2"/>
        <v>4250000</v>
      </c>
      <c r="R10" s="32">
        <f>R4-R9</f>
        <v>0</v>
      </c>
      <c r="S10" s="32"/>
      <c r="T10" s="32"/>
      <c r="U10" s="32"/>
      <c r="V10" s="32"/>
      <c r="W10" s="32"/>
      <c r="X10" s="32"/>
      <c r="Y10" s="32"/>
      <c r="Z10" s="32"/>
      <c r="AA10" s="32"/>
      <c r="AB10" s="32"/>
    </row>
    <row r="11" spans="1:28" x14ac:dyDescent="0.35">
      <c r="A11" t="s">
        <v>116</v>
      </c>
      <c r="B11" s="24" t="s">
        <v>25</v>
      </c>
      <c r="C11" s="48" t="s">
        <v>43</v>
      </c>
      <c r="D11" s="32">
        <f>D9+D8</f>
        <v>5684375</v>
      </c>
      <c r="E11" s="32">
        <f t="shared" ref="E11:Q11" si="3">E9+E8</f>
        <v>5588750</v>
      </c>
      <c r="F11" s="32">
        <f t="shared" si="3"/>
        <v>5493125</v>
      </c>
      <c r="G11" s="32">
        <f t="shared" si="3"/>
        <v>5397500</v>
      </c>
      <c r="H11" s="32">
        <f t="shared" si="3"/>
        <v>5301875</v>
      </c>
      <c r="I11" s="32">
        <f t="shared" si="3"/>
        <v>5206250</v>
      </c>
      <c r="J11" s="32">
        <f t="shared" si="3"/>
        <v>5110625</v>
      </c>
      <c r="K11" s="32">
        <f t="shared" si="3"/>
        <v>5015000</v>
      </c>
      <c r="L11" s="32">
        <f t="shared" si="3"/>
        <v>4919375</v>
      </c>
      <c r="M11" s="32">
        <f t="shared" si="3"/>
        <v>4823750</v>
      </c>
      <c r="N11" s="32">
        <f t="shared" si="3"/>
        <v>4728125</v>
      </c>
      <c r="O11" s="32">
        <f t="shared" si="3"/>
        <v>4632500</v>
      </c>
      <c r="P11" s="32">
        <f t="shared" si="3"/>
        <v>4536875</v>
      </c>
      <c r="Q11" s="32">
        <f t="shared" si="3"/>
        <v>4441250</v>
      </c>
      <c r="R11" s="32">
        <f>R9+R8</f>
        <v>4345625</v>
      </c>
      <c r="S11" s="32"/>
      <c r="T11" s="32"/>
      <c r="U11" s="32"/>
      <c r="V11" s="32"/>
      <c r="W11" s="32"/>
      <c r="X11" s="32"/>
      <c r="Y11" s="32"/>
      <c r="Z11" s="32"/>
      <c r="AA11" s="32"/>
      <c r="AB11" s="32"/>
    </row>
    <row r="12" spans="1:28" x14ac:dyDescent="0.35">
      <c r="C12" s="24"/>
    </row>
  </sheetData>
  <pageMargins left="0.7" right="0.7" top="0.75" bottom="0.75" header="0.3" footer="0.3"/>
  <ignoredErrors>
    <ignoredError sqref="C3:C4 E9:E11 C9:C11 C6:C8" calculatedColumn="1"/>
  </ignoredErrors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9A0BE-1273-421B-8325-E22BC231A225}">
  <dimension ref="A2:AB29"/>
  <sheetViews>
    <sheetView workbookViewId="0">
      <selection activeCell="D9" sqref="D9"/>
    </sheetView>
  </sheetViews>
  <sheetFormatPr defaultRowHeight="14.5" x14ac:dyDescent="0.35"/>
  <cols>
    <col min="1" max="1" width="25.26953125" customWidth="1"/>
    <col min="2" max="2" width="9.453125" customWidth="1"/>
    <col min="3" max="3" width="13.26953125" customWidth="1"/>
    <col min="4" max="28" width="13.6328125" customWidth="1"/>
  </cols>
  <sheetData>
    <row r="2" spans="1:28" x14ac:dyDescent="0.35">
      <c r="A2" s="53" t="s">
        <v>4</v>
      </c>
      <c r="B2" s="53" t="s">
        <v>6</v>
      </c>
      <c r="C2" s="53" t="s">
        <v>86</v>
      </c>
      <c r="D2" s="56" t="s">
        <v>61</v>
      </c>
      <c r="E2" s="56" t="s">
        <v>62</v>
      </c>
      <c r="F2" s="56" t="s">
        <v>63</v>
      </c>
      <c r="G2" s="56" t="s">
        <v>64</v>
      </c>
      <c r="H2" s="56" t="s">
        <v>65</v>
      </c>
      <c r="I2" s="56" t="s">
        <v>66</v>
      </c>
      <c r="J2" s="56" t="s">
        <v>67</v>
      </c>
      <c r="K2" s="56" t="s">
        <v>68</v>
      </c>
      <c r="L2" s="56" t="s">
        <v>69</v>
      </c>
      <c r="M2" s="56" t="s">
        <v>70</v>
      </c>
      <c r="N2" s="56" t="s">
        <v>71</v>
      </c>
      <c r="O2" s="56" t="s">
        <v>72</v>
      </c>
      <c r="P2" s="56" t="s">
        <v>73</v>
      </c>
      <c r="Q2" s="56" t="s">
        <v>74</v>
      </c>
      <c r="R2" s="56" t="s">
        <v>75</v>
      </c>
      <c r="S2" s="56" t="s">
        <v>76</v>
      </c>
      <c r="T2" s="56" t="s">
        <v>77</v>
      </c>
      <c r="U2" s="56" t="s">
        <v>78</v>
      </c>
      <c r="V2" s="56" t="s">
        <v>79</v>
      </c>
      <c r="W2" s="56" t="s">
        <v>80</v>
      </c>
      <c r="X2" s="56" t="s">
        <v>81</v>
      </c>
      <c r="Y2" s="56" t="s">
        <v>82</v>
      </c>
      <c r="Z2" s="56" t="s">
        <v>83</v>
      </c>
      <c r="AA2" s="56" t="s">
        <v>84</v>
      </c>
      <c r="AB2" s="57" t="s">
        <v>85</v>
      </c>
    </row>
    <row r="3" spans="1:28" x14ac:dyDescent="0.35">
      <c r="A3" s="54" t="s">
        <v>96</v>
      </c>
      <c r="B3" s="52" t="s">
        <v>25</v>
      </c>
      <c r="C3" s="32">
        <f>'03_Revenues'!C5</f>
        <v>0</v>
      </c>
      <c r="D3" s="32">
        <f>'03_Revenues'!D5</f>
        <v>6392545.8767999988</v>
      </c>
      <c r="E3" s="32">
        <f>'03_Revenues'!E5</f>
        <v>6487794.810364319</v>
      </c>
      <c r="F3" s="32">
        <f>'03_Revenues'!F5</f>
        <v>6584462.9530387474</v>
      </c>
      <c r="G3" s="32">
        <f>'03_Revenues'!G5</f>
        <v>6682571.4510390246</v>
      </c>
      <c r="H3" s="32">
        <f>'03_Revenues'!H5</f>
        <v>6782141.7656595055</v>
      </c>
      <c r="I3" s="32">
        <f>'03_Revenues'!I5</f>
        <v>6883195.6779678324</v>
      </c>
      <c r="J3" s="32">
        <f>'03_Revenues'!J5</f>
        <v>6985755.2935695518</v>
      </c>
      <c r="K3" s="32">
        <f>'03_Revenues'!K5</f>
        <v>7089843.0474437382</v>
      </c>
      <c r="L3" s="32">
        <f>'03_Revenues'!L5</f>
        <v>7195481.7088506492</v>
      </c>
      <c r="M3" s="32">
        <f>'03_Revenues'!M5</f>
        <v>7302694.3863125239</v>
      </c>
      <c r="N3" s="32">
        <f>'03_Revenues'!N5</f>
        <v>7411504.5326685803</v>
      </c>
      <c r="O3" s="32">
        <f>'03_Revenues'!O5</f>
        <v>7521935.9502053428</v>
      </c>
      <c r="P3" s="32">
        <f>'03_Revenues'!P5</f>
        <v>7634012.7958634021</v>
      </c>
      <c r="Q3" s="32">
        <f>'03_Revenues'!Q5</f>
        <v>7747759.586521768</v>
      </c>
      <c r="R3" s="32">
        <f>'03_Revenues'!R5</f>
        <v>7863201.2043609433</v>
      </c>
      <c r="S3" s="32">
        <f>'03_Revenues'!S5</f>
        <v>7980362.9023059206</v>
      </c>
      <c r="T3" s="32">
        <f>'03_Revenues'!T5</f>
        <v>8099270.3095502788</v>
      </c>
      <c r="U3" s="32">
        <f>'03_Revenues'!U5</f>
        <v>8219949.43716258</v>
      </c>
      <c r="V3" s="32">
        <f>'03_Revenues'!V5</f>
        <v>8342426.6837763013</v>
      </c>
      <c r="W3" s="32">
        <f>'03_Revenues'!W5</f>
        <v>8466728.8413645681</v>
      </c>
      <c r="X3" s="32">
        <f>'03_Revenues'!X5</f>
        <v>8592883.1011009011</v>
      </c>
      <c r="Y3" s="32">
        <f>'03_Revenues'!Y5</f>
        <v>8720917.0593073033</v>
      </c>
      <c r="Z3" s="32">
        <f>'03_Revenues'!Z5</f>
        <v>8850858.7234909832</v>
      </c>
      <c r="AA3" s="32">
        <f>'03_Revenues'!AA5</f>
        <v>8982736.5184709989</v>
      </c>
      <c r="AB3" s="32">
        <f>'03_Revenues'!AB5</f>
        <v>9116579.2925962154</v>
      </c>
    </row>
    <row r="4" spans="1:28" x14ac:dyDescent="0.35">
      <c r="A4" s="54" t="s">
        <v>11</v>
      </c>
      <c r="B4" s="52" t="s">
        <v>25</v>
      </c>
      <c r="C4" s="32">
        <f>Table5[[#This Row],[Year 0]]</f>
        <v>0</v>
      </c>
      <c r="D4" s="32">
        <f>Table5[[#This Row],[Year 1]]</f>
        <v>1122000</v>
      </c>
      <c r="E4" s="32">
        <f>Table5[[#This Row],[Year 2]]</f>
        <v>1144440</v>
      </c>
      <c r="F4" s="32">
        <f>Table5[[#This Row],[Year 3]]</f>
        <v>1167328.8</v>
      </c>
      <c r="G4" s="32">
        <f>Table5[[#This Row],[Year 4]]</f>
        <v>1190675.3760000002</v>
      </c>
      <c r="H4" s="32">
        <f>Table5[[#This Row],[Year 5]]</f>
        <v>1214488.8835200001</v>
      </c>
      <c r="I4" s="32">
        <f>Table5[[#This Row],[Year 6]]</f>
        <v>1238778.6611904001</v>
      </c>
      <c r="J4" s="32">
        <f>Table5[[#This Row],[Year 7]]</f>
        <v>1263554.2344142082</v>
      </c>
      <c r="K4" s="32">
        <f>Table5[[#This Row],[Year 8]]</f>
        <v>1288825.3191024924</v>
      </c>
      <c r="L4" s="32">
        <f>Table5[[#This Row],[Year 9]]</f>
        <v>1314601.8254845422</v>
      </c>
      <c r="M4" s="32">
        <f>Table5[[#This Row],[Year 10]]</f>
        <v>1340893.861994233</v>
      </c>
      <c r="N4" s="32">
        <f>Table5[[#This Row],[Year 11]]</f>
        <v>1367711.7392341176</v>
      </c>
      <c r="O4" s="32">
        <f>Table5[[#This Row],[Year 12]]</f>
        <v>1395065.9740187998</v>
      </c>
      <c r="P4" s="32">
        <f>Table5[[#This Row],[Year 13]]</f>
        <v>1422967.2934991759</v>
      </c>
      <c r="Q4" s="32">
        <f>Table5[[#This Row],[Year 14]]</f>
        <v>1451426.6393691595</v>
      </c>
      <c r="R4" s="32">
        <f>Table5[[#This Row],[Year 15]]</f>
        <v>1480455.1721565428</v>
      </c>
      <c r="S4" s="32">
        <f>Table5[[#This Row],[Year 16]]</f>
        <v>1510064.2755996736</v>
      </c>
      <c r="T4" s="32">
        <f>Table5[[#This Row],[Year 17]]</f>
        <v>1540265.5611116672</v>
      </c>
      <c r="U4" s="32">
        <f>Table5[[#This Row],[Year 18]]</f>
        <v>1571070.8723339005</v>
      </c>
      <c r="V4" s="32">
        <f>Table5[[#This Row],[Year 19]]</f>
        <v>1602492.2897805786</v>
      </c>
      <c r="W4" s="32">
        <f>Table5[[#This Row],[Year 20]]</f>
        <v>1634542.1355761902</v>
      </c>
      <c r="X4" s="32">
        <f>Table5[[#This Row],[Year 21]]</f>
        <v>1667232.9782877141</v>
      </c>
      <c r="Y4" s="32">
        <f>Table5[[#This Row],[Year 22]]</f>
        <v>1700577.6378534683</v>
      </c>
      <c r="Z4" s="32">
        <f>Table5[[#This Row],[Year 23]]</f>
        <v>1734589.1906105378</v>
      </c>
      <c r="AA4" s="32">
        <f>Table5[[#This Row],[Year 24]]</f>
        <v>1769280.9744227487</v>
      </c>
      <c r="AB4" s="32">
        <f>Table5[[#This Row],[Year 25]]</f>
        <v>1804666.5939112036</v>
      </c>
    </row>
    <row r="5" spans="1:28" x14ac:dyDescent="0.35">
      <c r="A5" s="54" t="s">
        <v>104</v>
      </c>
      <c r="B5" s="52" t="s">
        <v>25</v>
      </c>
      <c r="C5" s="32">
        <f>C3-C4</f>
        <v>0</v>
      </c>
      <c r="D5" s="32">
        <f>D3-D4</f>
        <v>5270545.8767999988</v>
      </c>
      <c r="E5" s="32">
        <f>E3-E4</f>
        <v>5343354.810364319</v>
      </c>
      <c r="F5" s="32">
        <f t="shared" ref="F5:AB5" si="0">F3-F4</f>
        <v>5417134.1530387476</v>
      </c>
      <c r="G5" s="32">
        <f t="shared" si="0"/>
        <v>5491896.0750390245</v>
      </c>
      <c r="H5" s="32">
        <f t="shared" si="0"/>
        <v>5567652.8821395058</v>
      </c>
      <c r="I5" s="32">
        <f t="shared" si="0"/>
        <v>5644417.0167774325</v>
      </c>
      <c r="J5" s="32">
        <f t="shared" si="0"/>
        <v>5722201.0591553431</v>
      </c>
      <c r="K5" s="32">
        <f t="shared" si="0"/>
        <v>5801017.728341246</v>
      </c>
      <c r="L5" s="32">
        <f t="shared" si="0"/>
        <v>5880879.883366107</v>
      </c>
      <c r="M5" s="32">
        <f t="shared" si="0"/>
        <v>5961800.5243182909</v>
      </c>
      <c r="N5" s="32">
        <f t="shared" si="0"/>
        <v>6043792.7934344625</v>
      </c>
      <c r="O5" s="32">
        <f t="shared" si="0"/>
        <v>6126869.9761865428</v>
      </c>
      <c r="P5" s="32">
        <f t="shared" si="0"/>
        <v>6211045.5023642257</v>
      </c>
      <c r="Q5" s="32">
        <f t="shared" si="0"/>
        <v>6296332.947152609</v>
      </c>
      <c r="R5" s="32">
        <f t="shared" si="0"/>
        <v>6382746.0322044007</v>
      </c>
      <c r="S5" s="32">
        <f t="shared" si="0"/>
        <v>6470298.6267062472</v>
      </c>
      <c r="T5" s="32">
        <f t="shared" si="0"/>
        <v>6559004.7484386116</v>
      </c>
      <c r="U5" s="32">
        <f t="shared" si="0"/>
        <v>6648878.564828679</v>
      </c>
      <c r="V5" s="32">
        <f t="shared" si="0"/>
        <v>6739934.3939957228</v>
      </c>
      <c r="W5" s="32">
        <f t="shared" si="0"/>
        <v>6832186.7057883777</v>
      </c>
      <c r="X5" s="32">
        <f t="shared" si="0"/>
        <v>6925650.1228131875</v>
      </c>
      <c r="Y5" s="32">
        <f t="shared" si="0"/>
        <v>7020339.4214538354</v>
      </c>
      <c r="Z5" s="32">
        <f t="shared" si="0"/>
        <v>7116269.5328804459</v>
      </c>
      <c r="AA5" s="32">
        <f t="shared" si="0"/>
        <v>7213455.5440482497</v>
      </c>
      <c r="AB5" s="32">
        <f t="shared" si="0"/>
        <v>7311912.6986850118</v>
      </c>
    </row>
    <row r="6" spans="1:28" x14ac:dyDescent="0.35">
      <c r="A6" s="54" t="s">
        <v>121</v>
      </c>
      <c r="B6" s="52" t="s">
        <v>25</v>
      </c>
      <c r="C6" s="32">
        <f>'05_Depreciation'!C7</f>
        <v>0</v>
      </c>
      <c r="D6" s="32">
        <f>'05_Depreciation'!D7</f>
        <v>3400000</v>
      </c>
      <c r="E6" s="32">
        <f>'05_Depreciation'!E7</f>
        <v>3400000</v>
      </c>
      <c r="F6" s="32">
        <f>'05_Depreciation'!F7</f>
        <v>3400000</v>
      </c>
      <c r="G6" s="32">
        <f>'05_Depreciation'!G7</f>
        <v>3400000</v>
      </c>
      <c r="H6" s="32">
        <f>'05_Depreciation'!H7</f>
        <v>3400000</v>
      </c>
      <c r="I6" s="32">
        <f>'05_Depreciation'!I7</f>
        <v>3400000</v>
      </c>
      <c r="J6" s="32">
        <f>'05_Depreciation'!J7</f>
        <v>3400000</v>
      </c>
      <c r="K6" s="32">
        <f>'05_Depreciation'!K7</f>
        <v>3400000</v>
      </c>
      <c r="L6" s="32">
        <f>'05_Depreciation'!L7</f>
        <v>3400000</v>
      </c>
      <c r="M6" s="32">
        <f>'05_Depreciation'!M7</f>
        <v>3400000</v>
      </c>
      <c r="N6" s="32">
        <f>'05_Depreciation'!N7</f>
        <v>3400000</v>
      </c>
      <c r="O6" s="32">
        <f>'05_Depreciation'!O7</f>
        <v>3400000</v>
      </c>
      <c r="P6" s="32">
        <f>'05_Depreciation'!P7</f>
        <v>3400000</v>
      </c>
      <c r="Q6" s="32">
        <f>'05_Depreciation'!Q7</f>
        <v>3400000</v>
      </c>
      <c r="R6" s="32">
        <f>'05_Depreciation'!R7</f>
        <v>3400000</v>
      </c>
      <c r="S6" s="32">
        <f>'05_Depreciation'!S7</f>
        <v>3400000</v>
      </c>
      <c r="T6" s="32">
        <f>'05_Depreciation'!T7</f>
        <v>3400000</v>
      </c>
      <c r="U6" s="32">
        <f>'05_Depreciation'!U7</f>
        <v>3400000</v>
      </c>
      <c r="V6" s="32">
        <f>'05_Depreciation'!V7</f>
        <v>3400000</v>
      </c>
      <c r="W6" s="32">
        <f>'05_Depreciation'!W7</f>
        <v>3400000</v>
      </c>
      <c r="X6" s="32">
        <f>'05_Depreciation'!X7</f>
        <v>3400000</v>
      </c>
      <c r="Y6" s="32">
        <f>'05_Depreciation'!Y7</f>
        <v>3400000</v>
      </c>
      <c r="Z6" s="32">
        <f>'05_Depreciation'!Z7</f>
        <v>3400000</v>
      </c>
      <c r="AA6" s="32">
        <f>'05_Depreciation'!AA7</f>
        <v>3400000</v>
      </c>
      <c r="AB6" s="32">
        <f>'05_Depreciation'!AB7</f>
        <v>3400000</v>
      </c>
    </row>
    <row r="7" spans="1:28" x14ac:dyDescent="0.35">
      <c r="A7" s="54" t="s">
        <v>122</v>
      </c>
      <c r="B7" s="52" t="s">
        <v>25</v>
      </c>
      <c r="C7" s="32">
        <f>C5-C6</f>
        <v>0</v>
      </c>
      <c r="D7" s="32">
        <f>D5-D6</f>
        <v>1870545.8767999988</v>
      </c>
      <c r="E7" s="32">
        <f t="shared" ref="D7:AB7" si="1">E5-E6</f>
        <v>1943354.810364319</v>
      </c>
      <c r="F7" s="32">
        <f t="shared" si="1"/>
        <v>2017134.1530387476</v>
      </c>
      <c r="G7" s="32">
        <f t="shared" si="1"/>
        <v>2091896.0750390245</v>
      </c>
      <c r="H7" s="32">
        <f t="shared" si="1"/>
        <v>2167652.8821395058</v>
      </c>
      <c r="I7" s="32">
        <f t="shared" si="1"/>
        <v>2244417.0167774325</v>
      </c>
      <c r="J7" s="32">
        <f t="shared" si="1"/>
        <v>2322201.0591553431</v>
      </c>
      <c r="K7" s="32">
        <f t="shared" si="1"/>
        <v>2401017.728341246</v>
      </c>
      <c r="L7" s="32">
        <f t="shared" si="1"/>
        <v>2480879.883366107</v>
      </c>
      <c r="M7" s="32">
        <f t="shared" si="1"/>
        <v>2561800.5243182909</v>
      </c>
      <c r="N7" s="32">
        <f t="shared" si="1"/>
        <v>2643792.7934344625</v>
      </c>
      <c r="O7" s="32">
        <f t="shared" si="1"/>
        <v>2726869.9761865428</v>
      </c>
      <c r="P7" s="32">
        <f t="shared" si="1"/>
        <v>2811045.5023642257</v>
      </c>
      <c r="Q7" s="32">
        <f t="shared" si="1"/>
        <v>2896332.947152609</v>
      </c>
      <c r="R7" s="32">
        <f>R5-R6</f>
        <v>2982746.0322044007</v>
      </c>
      <c r="S7" s="32">
        <f t="shared" si="1"/>
        <v>3070298.6267062472</v>
      </c>
      <c r="T7" s="32">
        <f t="shared" si="1"/>
        <v>3159004.7484386116</v>
      </c>
      <c r="U7" s="32">
        <f t="shared" si="1"/>
        <v>3248878.564828679</v>
      </c>
      <c r="V7" s="32">
        <f t="shared" si="1"/>
        <v>3339934.3939957228</v>
      </c>
      <c r="W7" s="32">
        <f t="shared" si="1"/>
        <v>3432186.7057883777</v>
      </c>
      <c r="X7" s="32">
        <f t="shared" si="1"/>
        <v>3525650.1228131875</v>
      </c>
      <c r="Y7" s="32">
        <f t="shared" si="1"/>
        <v>3620339.4214538354</v>
      </c>
      <c r="Z7" s="32">
        <f t="shared" si="1"/>
        <v>3716269.5328804459</v>
      </c>
      <c r="AA7" s="32">
        <f t="shared" si="1"/>
        <v>3813455.5440482497</v>
      </c>
      <c r="AB7" s="32">
        <f>AB5-AB6</f>
        <v>3911912.6986850118</v>
      </c>
    </row>
    <row r="8" spans="1:28" x14ac:dyDescent="0.35">
      <c r="A8" s="54" t="s">
        <v>125</v>
      </c>
      <c r="B8" s="52" t="s">
        <v>25</v>
      </c>
      <c r="C8" s="61">
        <f>C7*'01_Assumptions'!$B$21</f>
        <v>0</v>
      </c>
      <c r="D8" s="61">
        <f>D7*'01_Assumptions'!$B$21</f>
        <v>467636.4691999997</v>
      </c>
      <c r="E8" s="61">
        <f>E7*'01_Assumptions'!$B$21</f>
        <v>485838.70259107975</v>
      </c>
      <c r="F8" s="61">
        <f>F7*'01_Assumptions'!$B$21</f>
        <v>504283.5382596869</v>
      </c>
      <c r="G8" s="61">
        <f>G7*'01_Assumptions'!$B$21</f>
        <v>522974.01875975612</v>
      </c>
      <c r="H8" s="61">
        <f>H7*'01_Assumptions'!$B$21</f>
        <v>541913.22053487645</v>
      </c>
      <c r="I8" s="61">
        <f>I7*'01_Assumptions'!$B$21</f>
        <v>561104.25419435813</v>
      </c>
      <c r="J8" s="61">
        <f>J7*'01_Assumptions'!$B$21</f>
        <v>580550.26478883578</v>
      </c>
      <c r="K8" s="61">
        <f>K7*'01_Assumptions'!$B$21</f>
        <v>600254.43208531151</v>
      </c>
      <c r="L8" s="61">
        <f>L7*'01_Assumptions'!$B$21</f>
        <v>620219.97084152675</v>
      </c>
      <c r="M8" s="61">
        <f>M7*'01_Assumptions'!$B$21</f>
        <v>640450.13107957272</v>
      </c>
      <c r="N8" s="61">
        <f>N7*'01_Assumptions'!$B$21</f>
        <v>660948.19835861563</v>
      </c>
      <c r="O8" s="61">
        <f>O7*'01_Assumptions'!$B$21</f>
        <v>681717.49404663569</v>
      </c>
      <c r="P8" s="61">
        <f>P7*'01_Assumptions'!$B$21</f>
        <v>702761.37559105642</v>
      </c>
      <c r="Q8" s="61">
        <f>Q7*'01_Assumptions'!$B$21</f>
        <v>724083.23678815225</v>
      </c>
      <c r="R8" s="61">
        <f>R7*'01_Assumptions'!$B$21</f>
        <v>745686.50805110019</v>
      </c>
      <c r="S8" s="61">
        <f>S7*'01_Assumptions'!$B$21</f>
        <v>767574.6566765618</v>
      </c>
      <c r="T8" s="61">
        <f>T7*'01_Assumptions'!$B$21</f>
        <v>789751.18710965291</v>
      </c>
      <c r="U8" s="61">
        <f>U7*'01_Assumptions'!$B$21</f>
        <v>812219.64120716974</v>
      </c>
      <c r="V8" s="61">
        <f>V7*'01_Assumptions'!$B$21</f>
        <v>834983.59849893069</v>
      </c>
      <c r="W8" s="61">
        <f>W7*'01_Assumptions'!$B$21</f>
        <v>858046.67644709442</v>
      </c>
      <c r="X8" s="61">
        <f>X7*'01_Assumptions'!$B$21</f>
        <v>881412.53070329688</v>
      </c>
      <c r="Y8" s="61">
        <f>Y7*'01_Assumptions'!$B$21</f>
        <v>905084.85536345886</v>
      </c>
      <c r="Z8" s="61">
        <f>Z7*'01_Assumptions'!$B$21</f>
        <v>929067.38322011149</v>
      </c>
      <c r="AA8" s="61">
        <f>AA7*'01_Assumptions'!$B$21</f>
        <v>953363.88601206243</v>
      </c>
      <c r="AB8" s="61">
        <f>AB7*'01_Assumptions'!$B$21</f>
        <v>977978.17467125296</v>
      </c>
    </row>
    <row r="9" spans="1:28" x14ac:dyDescent="0.35">
      <c r="A9" s="54" t="s">
        <v>139</v>
      </c>
      <c r="B9" s="52" t="s">
        <v>25</v>
      </c>
      <c r="C9" s="32">
        <f>C7-C8</f>
        <v>0</v>
      </c>
      <c r="D9" s="32">
        <f>D7-D8</f>
        <v>1402909.4075999991</v>
      </c>
      <c r="E9" s="32">
        <f t="shared" ref="D9:AB9" si="2">E7-E8</f>
        <v>1457516.1077732393</v>
      </c>
      <c r="F9" s="32">
        <f t="shared" si="2"/>
        <v>1512850.6147790607</v>
      </c>
      <c r="G9" s="32">
        <f t="shared" si="2"/>
        <v>1568922.0562792683</v>
      </c>
      <c r="H9" s="32">
        <f t="shared" si="2"/>
        <v>1625739.6616046294</v>
      </c>
      <c r="I9" s="32">
        <f t="shared" si="2"/>
        <v>1683312.7625830744</v>
      </c>
      <c r="J9" s="32">
        <f t="shared" si="2"/>
        <v>1741650.7943665073</v>
      </c>
      <c r="K9" s="32">
        <f t="shared" si="2"/>
        <v>1800763.2962559345</v>
      </c>
      <c r="L9" s="32">
        <f t="shared" si="2"/>
        <v>1860659.9125245803</v>
      </c>
      <c r="M9" s="32">
        <f t="shared" si="2"/>
        <v>1921350.3932387182</v>
      </c>
      <c r="N9" s="32">
        <f t="shared" si="2"/>
        <v>1982844.5950758469</v>
      </c>
      <c r="O9" s="32">
        <f t="shared" si="2"/>
        <v>2045152.4821399071</v>
      </c>
      <c r="P9" s="32">
        <f t="shared" si="2"/>
        <v>2108284.1267731693</v>
      </c>
      <c r="Q9" s="32">
        <f t="shared" si="2"/>
        <v>2172249.7103644568</v>
      </c>
      <c r="R9" s="32">
        <f t="shared" si="2"/>
        <v>2237059.5241533006</v>
      </c>
      <c r="S9" s="32">
        <f t="shared" si="2"/>
        <v>2302723.9700296856</v>
      </c>
      <c r="T9" s="32">
        <f t="shared" si="2"/>
        <v>2369253.5613289587</v>
      </c>
      <c r="U9" s="32">
        <f t="shared" si="2"/>
        <v>2436658.9236215092</v>
      </c>
      <c r="V9" s="32">
        <f t="shared" si="2"/>
        <v>2504950.7954967921</v>
      </c>
      <c r="W9" s="32">
        <f t="shared" si="2"/>
        <v>2574140.0293412833</v>
      </c>
      <c r="X9" s="32">
        <f t="shared" si="2"/>
        <v>2644237.5921098907</v>
      </c>
      <c r="Y9" s="32">
        <f t="shared" si="2"/>
        <v>2715254.5660903766</v>
      </c>
      <c r="Z9" s="32">
        <f t="shared" si="2"/>
        <v>2787202.1496603345</v>
      </c>
      <c r="AA9" s="32">
        <f t="shared" si="2"/>
        <v>2860091.6580361873</v>
      </c>
      <c r="AB9" s="32">
        <f>AB7-AB8</f>
        <v>2933934.5240137586</v>
      </c>
    </row>
    <row r="10" spans="1:28" x14ac:dyDescent="0.35">
      <c r="A10" s="54" t="s">
        <v>121</v>
      </c>
      <c r="B10" s="52" t="s">
        <v>25</v>
      </c>
      <c r="C10" s="32">
        <f>C6</f>
        <v>0</v>
      </c>
      <c r="D10" s="32">
        <f t="shared" ref="D10:AB10" si="3">D6</f>
        <v>3400000</v>
      </c>
      <c r="E10" s="32">
        <f t="shared" si="3"/>
        <v>3400000</v>
      </c>
      <c r="F10" s="32">
        <f t="shared" si="3"/>
        <v>3400000</v>
      </c>
      <c r="G10" s="32">
        <f t="shared" si="3"/>
        <v>3400000</v>
      </c>
      <c r="H10" s="32">
        <f t="shared" si="3"/>
        <v>3400000</v>
      </c>
      <c r="I10" s="32">
        <f t="shared" si="3"/>
        <v>3400000</v>
      </c>
      <c r="J10" s="32">
        <f t="shared" si="3"/>
        <v>3400000</v>
      </c>
      <c r="K10" s="32">
        <f t="shared" si="3"/>
        <v>3400000</v>
      </c>
      <c r="L10" s="32">
        <f t="shared" si="3"/>
        <v>3400000</v>
      </c>
      <c r="M10" s="32">
        <f t="shared" si="3"/>
        <v>3400000</v>
      </c>
      <c r="N10" s="32">
        <f t="shared" si="3"/>
        <v>3400000</v>
      </c>
      <c r="O10" s="32">
        <f t="shared" si="3"/>
        <v>3400000</v>
      </c>
      <c r="P10" s="32">
        <f t="shared" si="3"/>
        <v>3400000</v>
      </c>
      <c r="Q10" s="32">
        <f t="shared" si="3"/>
        <v>3400000</v>
      </c>
      <c r="R10" s="32">
        <f t="shared" si="3"/>
        <v>3400000</v>
      </c>
      <c r="S10" s="32">
        <f t="shared" si="3"/>
        <v>3400000</v>
      </c>
      <c r="T10" s="32">
        <f t="shared" si="3"/>
        <v>3400000</v>
      </c>
      <c r="U10" s="32">
        <f t="shared" si="3"/>
        <v>3400000</v>
      </c>
      <c r="V10" s="32">
        <f t="shared" si="3"/>
        <v>3400000</v>
      </c>
      <c r="W10" s="32">
        <f t="shared" si="3"/>
        <v>3400000</v>
      </c>
      <c r="X10" s="32">
        <f t="shared" si="3"/>
        <v>3400000</v>
      </c>
      <c r="Y10" s="32">
        <f t="shared" si="3"/>
        <v>3400000</v>
      </c>
      <c r="Z10" s="32">
        <f t="shared" si="3"/>
        <v>3400000</v>
      </c>
      <c r="AA10" s="32">
        <f t="shared" si="3"/>
        <v>3400000</v>
      </c>
      <c r="AB10" s="32">
        <f t="shared" si="3"/>
        <v>3400000</v>
      </c>
    </row>
    <row r="11" spans="1:28" x14ac:dyDescent="0.35">
      <c r="A11" s="54" t="s">
        <v>10</v>
      </c>
      <c r="B11" s="52" t="s">
        <v>25</v>
      </c>
      <c r="C11" s="32">
        <v>85000000</v>
      </c>
      <c r="D11" s="32">
        <v>0</v>
      </c>
      <c r="E11" s="32">
        <v>0</v>
      </c>
      <c r="F11" s="32">
        <v>0</v>
      </c>
      <c r="G11" s="32">
        <v>0</v>
      </c>
      <c r="H11" s="32">
        <v>0</v>
      </c>
      <c r="I11" s="32">
        <v>0</v>
      </c>
      <c r="J11" s="32">
        <v>0</v>
      </c>
      <c r="K11" s="32">
        <v>0</v>
      </c>
      <c r="L11" s="32">
        <v>0</v>
      </c>
      <c r="M11" s="32">
        <v>0</v>
      </c>
      <c r="N11" s="32">
        <v>0</v>
      </c>
      <c r="O11" s="32">
        <v>0</v>
      </c>
      <c r="P11" s="32">
        <v>0</v>
      </c>
      <c r="Q11" s="32">
        <v>0</v>
      </c>
      <c r="R11" s="32">
        <v>0</v>
      </c>
      <c r="S11" s="32">
        <v>0</v>
      </c>
      <c r="T11" s="32">
        <v>0</v>
      </c>
      <c r="U11" s="32">
        <v>0</v>
      </c>
      <c r="V11" s="32">
        <v>0</v>
      </c>
      <c r="W11" s="32">
        <v>0</v>
      </c>
      <c r="X11" s="32">
        <v>0</v>
      </c>
      <c r="Y11" s="32">
        <v>0</v>
      </c>
      <c r="Z11" s="32">
        <v>0</v>
      </c>
      <c r="AA11" s="32">
        <v>0</v>
      </c>
      <c r="AB11" s="32">
        <v>0</v>
      </c>
    </row>
    <row r="12" spans="1:28" x14ac:dyDescent="0.35">
      <c r="A12" s="55" t="s">
        <v>140</v>
      </c>
      <c r="B12" s="52" t="s">
        <v>25</v>
      </c>
      <c r="C12" s="32">
        <f>C9+C10-C11</f>
        <v>-85000000</v>
      </c>
      <c r="D12" s="32">
        <f>D9+D10-D11</f>
        <v>4802909.4075999986</v>
      </c>
      <c r="E12" s="32">
        <f t="shared" ref="E12:AB12" si="4">E9+E10-E11</f>
        <v>4857516.1077732388</v>
      </c>
      <c r="F12" s="32">
        <f t="shared" si="4"/>
        <v>4912850.6147790607</v>
      </c>
      <c r="G12" s="32">
        <f t="shared" si="4"/>
        <v>4968922.0562792681</v>
      </c>
      <c r="H12" s="32">
        <f t="shared" si="4"/>
        <v>5025739.6616046298</v>
      </c>
      <c r="I12" s="32">
        <f t="shared" si="4"/>
        <v>5083312.7625830742</v>
      </c>
      <c r="J12" s="32">
        <f t="shared" si="4"/>
        <v>5141650.7943665069</v>
      </c>
      <c r="K12" s="32">
        <f t="shared" si="4"/>
        <v>5200763.296255935</v>
      </c>
      <c r="L12" s="32">
        <f t="shared" si="4"/>
        <v>5260659.91252458</v>
      </c>
      <c r="M12" s="32">
        <f t="shared" si="4"/>
        <v>5321350.3932387177</v>
      </c>
      <c r="N12" s="32">
        <f t="shared" si="4"/>
        <v>5382844.5950758466</v>
      </c>
      <c r="O12" s="32">
        <f t="shared" si="4"/>
        <v>5445152.4821399068</v>
      </c>
      <c r="P12" s="32">
        <f t="shared" si="4"/>
        <v>5508284.1267731693</v>
      </c>
      <c r="Q12" s="32">
        <f t="shared" si="4"/>
        <v>5572249.7103644572</v>
      </c>
      <c r="R12" s="32">
        <f t="shared" si="4"/>
        <v>5637059.5241533006</v>
      </c>
      <c r="S12" s="32">
        <f t="shared" si="4"/>
        <v>5702723.9700296856</v>
      </c>
      <c r="T12" s="32">
        <f t="shared" si="4"/>
        <v>5769253.5613289587</v>
      </c>
      <c r="U12" s="32">
        <f t="shared" si="4"/>
        <v>5836658.9236215092</v>
      </c>
      <c r="V12" s="32">
        <f t="shared" si="4"/>
        <v>5904950.7954967916</v>
      </c>
      <c r="W12" s="32">
        <f t="shared" si="4"/>
        <v>5974140.0293412833</v>
      </c>
      <c r="X12" s="32">
        <f t="shared" si="4"/>
        <v>6044237.5921098907</v>
      </c>
      <c r="Y12" s="32">
        <f t="shared" si="4"/>
        <v>6115254.566090377</v>
      </c>
      <c r="Z12" s="32">
        <f t="shared" si="4"/>
        <v>6187202.149660334</v>
      </c>
      <c r="AA12" s="32">
        <f t="shared" si="4"/>
        <v>6260091.6580361873</v>
      </c>
      <c r="AB12" s="32">
        <f t="shared" si="4"/>
        <v>6333934.5240137586</v>
      </c>
    </row>
    <row r="17" spans="1:1" x14ac:dyDescent="0.35">
      <c r="A17" s="60" t="s">
        <v>130</v>
      </c>
    </row>
    <row r="18" spans="1:1" ht="87" x14ac:dyDescent="0.35">
      <c r="A18" s="35" t="s">
        <v>131</v>
      </c>
    </row>
    <row r="19" spans="1:1" ht="58" x14ac:dyDescent="0.35">
      <c r="A19" s="35" t="s">
        <v>132</v>
      </c>
    </row>
    <row r="20" spans="1:1" ht="72.5" x14ac:dyDescent="0.35">
      <c r="A20" s="35" t="s">
        <v>133</v>
      </c>
    </row>
    <row r="21" spans="1:1" ht="72.5" x14ac:dyDescent="0.35">
      <c r="A21" s="35" t="s">
        <v>134</v>
      </c>
    </row>
    <row r="22" spans="1:1" ht="58" x14ac:dyDescent="0.35">
      <c r="A22" s="35" t="s">
        <v>135</v>
      </c>
    </row>
    <row r="23" spans="1:1" ht="58" x14ac:dyDescent="0.35">
      <c r="A23" s="35" t="s">
        <v>141</v>
      </c>
    </row>
    <row r="24" spans="1:1" ht="72.5" x14ac:dyDescent="0.35">
      <c r="A24" s="35" t="s">
        <v>142</v>
      </c>
    </row>
    <row r="25" spans="1:1" ht="87" x14ac:dyDescent="0.35">
      <c r="A25" s="35" t="s">
        <v>143</v>
      </c>
    </row>
    <row r="26" spans="1:1" x14ac:dyDescent="0.35">
      <c r="A26" s="58"/>
    </row>
    <row r="27" spans="1:1" x14ac:dyDescent="0.35">
      <c r="A27" s="59"/>
    </row>
    <row r="29" spans="1:1" ht="43.5" x14ac:dyDescent="0.35">
      <c r="A29" s="34" t="s">
        <v>129</v>
      </c>
    </row>
  </sheetData>
  <pageMargins left="0.7" right="0.7" top="0.75" bottom="0.75" header="0.3" footer="0.3"/>
  <ignoredErrors>
    <ignoredError sqref="C6:U6 V6:AA6" formula="1"/>
  </ignoredErrors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C2706-C395-4B2F-A5AF-90C1AA936AEC}">
  <dimension ref="A2:AB19"/>
  <sheetViews>
    <sheetView workbookViewId="0">
      <selection activeCell="D8" sqref="D8"/>
    </sheetView>
  </sheetViews>
  <sheetFormatPr defaultRowHeight="14.5" x14ac:dyDescent="0.35"/>
  <cols>
    <col min="1" max="1" width="31.7265625" customWidth="1"/>
    <col min="2" max="2" width="10.453125" customWidth="1"/>
    <col min="3" max="28" width="12.7265625" customWidth="1"/>
  </cols>
  <sheetData>
    <row r="2" spans="1:28" x14ac:dyDescent="0.35">
      <c r="A2" s="53" t="s">
        <v>4</v>
      </c>
      <c r="B2" s="53" t="s">
        <v>6</v>
      </c>
      <c r="C2" s="53" t="s">
        <v>86</v>
      </c>
      <c r="D2" s="53" t="s">
        <v>61</v>
      </c>
      <c r="E2" s="53" t="s">
        <v>62</v>
      </c>
      <c r="F2" s="53" t="s">
        <v>63</v>
      </c>
      <c r="G2" s="56" t="s">
        <v>64</v>
      </c>
      <c r="H2" s="56" t="s">
        <v>65</v>
      </c>
      <c r="I2" s="56" t="s">
        <v>66</v>
      </c>
      <c r="J2" s="56" t="s">
        <v>67</v>
      </c>
      <c r="K2" s="56" t="s">
        <v>68</v>
      </c>
      <c r="L2" s="56" t="s">
        <v>69</v>
      </c>
      <c r="M2" s="56" t="s">
        <v>70</v>
      </c>
      <c r="N2" s="56" t="s">
        <v>71</v>
      </c>
      <c r="O2" s="56" t="s">
        <v>72</v>
      </c>
      <c r="P2" s="56" t="s">
        <v>73</v>
      </c>
      <c r="Q2" s="56" t="s">
        <v>74</v>
      </c>
      <c r="R2" s="56" t="s">
        <v>75</v>
      </c>
      <c r="S2" s="56" t="s">
        <v>76</v>
      </c>
      <c r="T2" s="56" t="s">
        <v>77</v>
      </c>
      <c r="U2" s="56" t="s">
        <v>78</v>
      </c>
      <c r="V2" s="56" t="s">
        <v>79</v>
      </c>
      <c r="W2" s="56" t="s">
        <v>80</v>
      </c>
      <c r="X2" s="56" t="s">
        <v>81</v>
      </c>
      <c r="Y2" s="56" t="s">
        <v>82</v>
      </c>
      <c r="Z2" s="56" t="s">
        <v>83</v>
      </c>
      <c r="AA2" s="56" t="s">
        <v>84</v>
      </c>
      <c r="AB2" s="57" t="s">
        <v>85</v>
      </c>
    </row>
    <row r="3" spans="1:28" x14ac:dyDescent="0.35">
      <c r="A3" s="54" t="s">
        <v>168</v>
      </c>
      <c r="B3" s="52" t="s">
        <v>25</v>
      </c>
      <c r="C3" s="32">
        <f>'07_Cash_Flow'!C12</f>
        <v>-85000000</v>
      </c>
      <c r="D3" s="32">
        <f>'07_Cash_Flow'!D12</f>
        <v>4802909.4075999986</v>
      </c>
      <c r="E3" s="32">
        <f>'07_Cash_Flow'!E12</f>
        <v>4857516.1077732388</v>
      </c>
      <c r="F3" s="32">
        <f>'07_Cash_Flow'!F12</f>
        <v>4912850.6147790607</v>
      </c>
      <c r="G3" s="32">
        <f>'07_Cash_Flow'!G12</f>
        <v>4968922.0562792681</v>
      </c>
      <c r="H3" s="32">
        <f>'07_Cash_Flow'!H12</f>
        <v>5025739.6616046298</v>
      </c>
      <c r="I3" s="32">
        <f>'07_Cash_Flow'!I12</f>
        <v>5083312.7625830742</v>
      </c>
      <c r="J3" s="32">
        <f>'07_Cash_Flow'!J12</f>
        <v>5141650.7943665069</v>
      </c>
      <c r="K3" s="32">
        <f>'07_Cash_Flow'!K12</f>
        <v>5200763.296255935</v>
      </c>
      <c r="L3" s="32">
        <f>'07_Cash_Flow'!L12</f>
        <v>5260659.91252458</v>
      </c>
      <c r="M3" s="32">
        <f>'07_Cash_Flow'!M12</f>
        <v>5321350.3932387177</v>
      </c>
      <c r="N3" s="32">
        <f>'07_Cash_Flow'!N12</f>
        <v>5382844.5950758466</v>
      </c>
      <c r="O3" s="32">
        <f>'07_Cash_Flow'!O12</f>
        <v>5445152.4821399068</v>
      </c>
      <c r="P3" s="32">
        <f>'07_Cash_Flow'!P12</f>
        <v>5508284.1267731693</v>
      </c>
      <c r="Q3" s="32">
        <f>'07_Cash_Flow'!Q12</f>
        <v>5572249.7103644572</v>
      </c>
      <c r="R3" s="32">
        <f>'07_Cash_Flow'!R12</f>
        <v>5637059.5241533006</v>
      </c>
      <c r="S3" s="32">
        <f>'07_Cash_Flow'!S12</f>
        <v>5702723.9700296856</v>
      </c>
      <c r="T3" s="32">
        <f>'07_Cash_Flow'!T12</f>
        <v>5769253.5613289587</v>
      </c>
      <c r="U3" s="32">
        <f>'07_Cash_Flow'!U12</f>
        <v>5836658.9236215092</v>
      </c>
      <c r="V3" s="32">
        <f>'07_Cash_Flow'!V12</f>
        <v>5904950.7954967916</v>
      </c>
      <c r="W3" s="32">
        <f>'07_Cash_Flow'!W12</f>
        <v>5974140.0293412833</v>
      </c>
      <c r="X3" s="32">
        <f>'07_Cash_Flow'!X12</f>
        <v>6044237.5921098907</v>
      </c>
      <c r="Y3" s="32">
        <f>'07_Cash_Flow'!Y12</f>
        <v>6115254.566090377</v>
      </c>
      <c r="Z3" s="32">
        <f>'07_Cash_Flow'!Z12</f>
        <v>6187202.149660334</v>
      </c>
      <c r="AA3" s="32">
        <f>'07_Cash_Flow'!AA12</f>
        <v>6260091.6580361873</v>
      </c>
      <c r="AB3" s="32">
        <f>'07_Cash_Flow'!AB12</f>
        <v>6333934.5240137586</v>
      </c>
    </row>
    <row r="4" spans="1:28" x14ac:dyDescent="0.35">
      <c r="A4" s="54" t="s">
        <v>167</v>
      </c>
      <c r="B4" s="52" t="s">
        <v>25</v>
      </c>
      <c r="C4" s="45">
        <f>C3</f>
        <v>-85000000</v>
      </c>
      <c r="D4" s="32">
        <f>Table10[[#This Row],[Year 0]]+D3</f>
        <v>-80197090.592399999</v>
      </c>
      <c r="E4" s="32">
        <f>Table10[[#This Row],[Year 1]]+E3</f>
        <v>-75339574.484626755</v>
      </c>
      <c r="F4" s="32">
        <f>Table10[[#This Row],[Year 2]]+F3</f>
        <v>-70426723.8698477</v>
      </c>
      <c r="G4" s="32">
        <f>Table10[[#This Row],[Year 3]]+G3</f>
        <v>-65457801.813568428</v>
      </c>
      <c r="H4" s="32">
        <f>Table10[[#This Row],[Year 4]]+H3</f>
        <v>-60432062.1519638</v>
      </c>
      <c r="I4" s="32">
        <f>Table10[[#This Row],[Year 5]]+I3</f>
        <v>-55348749.389380723</v>
      </c>
      <c r="J4" s="32">
        <f>Table10[[#This Row],[Year 6]]+J3</f>
        <v>-50207098.595014215</v>
      </c>
      <c r="K4" s="32">
        <f>Table10[[#This Row],[Year 7]]+K3</f>
        <v>-45006335.298758283</v>
      </c>
      <c r="L4" s="32">
        <f>Table10[[#This Row],[Year 8]]+L3</f>
        <v>-39745675.386233702</v>
      </c>
      <c r="M4" s="32">
        <f>Table10[[#This Row],[Year 9]]+M3</f>
        <v>-34424324.992994986</v>
      </c>
      <c r="N4" s="32">
        <f>Table10[[#This Row],[Year 10]]+N3</f>
        <v>-29041480.397919141</v>
      </c>
      <c r="O4" s="32">
        <f>Table10[[#This Row],[Year 11]]+O3</f>
        <v>-23596327.915779233</v>
      </c>
      <c r="P4" s="32">
        <f>Table10[[#This Row],[Year 12]]+P3</f>
        <v>-18088043.789006062</v>
      </c>
      <c r="Q4" s="32">
        <f>Table10[[#This Row],[Year 13]]+Q3</f>
        <v>-12515794.078641605</v>
      </c>
      <c r="R4" s="32">
        <f>Table10[[#This Row],[Year 14]]+R3</f>
        <v>-6878734.5544883041</v>
      </c>
      <c r="S4" s="32">
        <f>Table10[[#This Row],[Year 15]]+S3</f>
        <v>-1176010.5844586184</v>
      </c>
      <c r="T4" s="68">
        <f>Table10[[#This Row],[Year 16]]+T3</f>
        <v>4593242.9768703403</v>
      </c>
      <c r="U4" s="32">
        <f>Table10[[#This Row],[Year 17]]+U3</f>
        <v>10429901.900491849</v>
      </c>
      <c r="V4" s="32">
        <f>Table10[[#This Row],[Year 18]]+V3</f>
        <v>16334852.69598864</v>
      </c>
      <c r="W4" s="32">
        <f>Table10[[#This Row],[Year 19]]+W3</f>
        <v>22308992.725329924</v>
      </c>
      <c r="X4" s="32">
        <f>Table10[[#This Row],[Year 20]]+X3</f>
        <v>28353230.317439817</v>
      </c>
      <c r="Y4" s="32">
        <f>Table10[[#This Row],[Year 21]]+Y3</f>
        <v>34468484.883530192</v>
      </c>
      <c r="Z4" s="32">
        <f>Table10[[#This Row],[Year 22]]+Z3</f>
        <v>40655687.033190526</v>
      </c>
      <c r="AA4" s="32">
        <f>Table10[[#This Row],[Year 23]]+AA3</f>
        <v>46915778.691226713</v>
      </c>
      <c r="AB4" s="32">
        <f>Table10[[#This Row],[Year 24]]+AB3</f>
        <v>53249713.215240471</v>
      </c>
    </row>
    <row r="5" spans="1:28" x14ac:dyDescent="0.35">
      <c r="A5" s="54" t="s">
        <v>144</v>
      </c>
      <c r="B5" s="52" t="s">
        <v>17</v>
      </c>
      <c r="C5" s="63">
        <v>0</v>
      </c>
      <c r="D5" s="64">
        <f>'01_Assumptions'!$B$28</f>
        <v>3.2656249999999998E-2</v>
      </c>
      <c r="E5" s="64">
        <f>'01_Assumptions'!$B$28</f>
        <v>3.2656249999999998E-2</v>
      </c>
      <c r="F5" s="64">
        <f>'01_Assumptions'!$B$28</f>
        <v>3.2656249999999998E-2</v>
      </c>
      <c r="G5" s="64">
        <f>'01_Assumptions'!$B$28</f>
        <v>3.2656249999999998E-2</v>
      </c>
      <c r="H5" s="64">
        <f>'01_Assumptions'!$B$28</f>
        <v>3.2656249999999998E-2</v>
      </c>
      <c r="I5" s="64">
        <f>'01_Assumptions'!$B$28</f>
        <v>3.2656249999999998E-2</v>
      </c>
      <c r="J5" s="64">
        <f>'01_Assumptions'!$B$28</f>
        <v>3.2656249999999998E-2</v>
      </c>
      <c r="K5" s="64">
        <f>'01_Assumptions'!$B$28</f>
        <v>3.2656249999999998E-2</v>
      </c>
      <c r="L5" s="64">
        <f>'01_Assumptions'!$B$28</f>
        <v>3.2656249999999998E-2</v>
      </c>
      <c r="M5" s="64">
        <f>'01_Assumptions'!$B$28</f>
        <v>3.2656249999999998E-2</v>
      </c>
      <c r="N5" s="64">
        <f>'01_Assumptions'!$B$28</f>
        <v>3.2656249999999998E-2</v>
      </c>
      <c r="O5" s="64">
        <f>'01_Assumptions'!$B$28</f>
        <v>3.2656249999999998E-2</v>
      </c>
      <c r="P5" s="64">
        <f>'01_Assumptions'!$B$28</f>
        <v>3.2656249999999998E-2</v>
      </c>
      <c r="Q5" s="64">
        <f>'01_Assumptions'!$B$28</f>
        <v>3.2656249999999998E-2</v>
      </c>
      <c r="R5" s="64">
        <f>'01_Assumptions'!$B$28</f>
        <v>3.2656249999999998E-2</v>
      </c>
      <c r="S5" s="64">
        <f>'01_Assumptions'!$B$28</f>
        <v>3.2656249999999998E-2</v>
      </c>
      <c r="T5" s="64">
        <f>'01_Assumptions'!$B$28</f>
        <v>3.2656249999999998E-2</v>
      </c>
      <c r="U5" s="64">
        <f>'01_Assumptions'!$B$28</f>
        <v>3.2656249999999998E-2</v>
      </c>
      <c r="V5" s="64">
        <f>'01_Assumptions'!$B$28</f>
        <v>3.2656249999999998E-2</v>
      </c>
      <c r="W5" s="64">
        <f>'01_Assumptions'!$B$28</f>
        <v>3.2656249999999998E-2</v>
      </c>
      <c r="X5" s="64">
        <f>'01_Assumptions'!$B$28</f>
        <v>3.2656249999999998E-2</v>
      </c>
      <c r="Y5" s="64">
        <f>'01_Assumptions'!$B$28</f>
        <v>3.2656249999999998E-2</v>
      </c>
      <c r="Z5" s="64">
        <f>'01_Assumptions'!$B$28</f>
        <v>3.2656249999999998E-2</v>
      </c>
      <c r="AA5" s="64">
        <f>'01_Assumptions'!$B$28</f>
        <v>3.2656249999999998E-2</v>
      </c>
      <c r="AB5" s="64">
        <f>'01_Assumptions'!$B$28</f>
        <v>3.2656249999999998E-2</v>
      </c>
    </row>
    <row r="6" spans="1:28" x14ac:dyDescent="0.35">
      <c r="A6" s="54" t="s">
        <v>145</v>
      </c>
      <c r="B6" s="52" t="s">
        <v>146</v>
      </c>
      <c r="C6" s="62">
        <f>1/(1+C5)</f>
        <v>1</v>
      </c>
      <c r="D6" s="54">
        <f>Table10[[#This Row],[Year 0]]/(1+D5)</f>
        <v>0.96837645634740499</v>
      </c>
      <c r="E6" s="54">
        <f>Table10[[#This Row],[Year 1]]/(1+E5)</f>
        <v>0.93775296120795759</v>
      </c>
      <c r="F6" s="54">
        <f>Table10[[#This Row],[Year 2]]/(1+F5)</f>
        <v>0.90809788950384751</v>
      </c>
      <c r="G6" s="54">
        <f>Table10[[#This Row],[Year 3]]/(1+G5)</f>
        <v>0.8793806162542932</v>
      </c>
      <c r="H6" s="54">
        <f>Table10[[#This Row],[Year 4]]/(1+H5)</f>
        <v>0.85157148494892965</v>
      </c>
      <c r="I6" s="54">
        <f>Table10[[#This Row],[Year 5]]/(1+I5)</f>
        <v>0.824641776921342</v>
      </c>
      <c r="J6" s="54">
        <f>Table10[[#This Row],[Year 6]]/(1+J5)</f>
        <v>0.79856368169111647</v>
      </c>
      <c r="K6" s="54">
        <f>Table10[[#This Row],[Year 7]]/(1+K5)</f>
        <v>0.77331026824378046</v>
      </c>
      <c r="L6" s="54">
        <f>Table10[[#This Row],[Year 8]]/(1+L5)</f>
        <v>0.74885545721897329</v>
      </c>
      <c r="M6" s="54">
        <f>Table10[[#This Row],[Year 9]]/(1+M5)</f>
        <v>0.7251739939781251</v>
      </c>
      <c r="N6" s="54">
        <f>Table10[[#This Row],[Year 10]]/(1+N5)</f>
        <v>0.70224142252383115</v>
      </c>
      <c r="O6" s="54">
        <f>Table10[[#This Row],[Year 11]]/(1+O5)</f>
        <v>0.68003406024398838</v>
      </c>
      <c r="P6" s="54">
        <f>Table10[[#This Row],[Year 12]]/(1+P5)</f>
        <v>0.65852897345461114</v>
      </c>
      <c r="Q6" s="54">
        <f>Table10[[#This Row],[Year 13]]/(1+Q5)</f>
        <v>0.63770395371607069</v>
      </c>
      <c r="R6" s="54">
        <f>Table10[[#This Row],[Year 14]]/(1+R5)</f>
        <v>0.61753749489829812</v>
      </c>
      <c r="S6" s="54">
        <f>Table10[[#This Row],[Year 15]]/(1+S5)</f>
        <v>0.59800877097126759</v>
      </c>
      <c r="T6" s="54">
        <f>Table10[[#This Row],[Year 16]]/(1+T5)</f>
        <v>0.57909761449782304</v>
      </c>
      <c r="U6" s="54">
        <f>Table10[[#This Row],[Year 17]]/(1+U5)</f>
        <v>0.56078449580663747</v>
      </c>
      <c r="V6" s="54">
        <f>Table10[[#This Row],[Year 18]]/(1+V5)</f>
        <v>0.54305050282379774</v>
      </c>
      <c r="W6" s="54">
        <f>Table10[[#This Row],[Year 19]]/(1+W5)</f>
        <v>0.52587732154218569</v>
      </c>
      <c r="X6" s="54">
        <f>Table10[[#This Row],[Year 20]]/(1+X5)</f>
        <v>0.50924721710848664</v>
      </c>
      <c r="Y6" s="54">
        <f>Table10[[#This Row],[Year 21]]/(1+Y5)</f>
        <v>0.49314301550829387</v>
      </c>
      <c r="Z6" s="54">
        <f>Table10[[#This Row],[Year 22]]/(1+Z5)</f>
        <v>0.47754808583039499</v>
      </c>
      <c r="AA6" s="54">
        <f>Table10[[#This Row],[Year 23]]/(1+AA5)</f>
        <v>0.46244632309192429</v>
      </c>
      <c r="AB6" s="54">
        <f>Table10[[#This Row],[Year 24]]/(1+AB5)</f>
        <v>0.4478221316066448</v>
      </c>
    </row>
    <row r="7" spans="1:28" s="66" customFormat="1" ht="29" x14ac:dyDescent="0.35">
      <c r="A7" s="67" t="s">
        <v>148</v>
      </c>
      <c r="B7" s="52" t="s">
        <v>25</v>
      </c>
      <c r="C7" s="65">
        <f>C3*C6</f>
        <v>-85000000</v>
      </c>
      <c r="D7" s="65">
        <f>D3*D6</f>
        <v>4651024.3922893004</v>
      </c>
      <c r="E7" s="65">
        <f>E3*E6</f>
        <v>4555150.1141797071</v>
      </c>
      <c r="F7" s="65">
        <f t="shared" ref="E7:AB7" si="0">F3*F6</f>
        <v>4461349.274728545</v>
      </c>
      <c r="G7" s="65">
        <f>G3*G6</f>
        <v>4369573.7399704121</v>
      </c>
      <c r="H7" s="65">
        <f t="shared" si="0"/>
        <v>4279776.5865993854</v>
      </c>
      <c r="I7" s="65">
        <f t="shared" si="0"/>
        <v>4191912.0691834423</v>
      </c>
      <c r="J7" s="65">
        <f t="shared" si="0"/>
        <v>4105935.5883193715</v>
      </c>
      <c r="K7" s="65">
        <f t="shared" si="0"/>
        <v>4021803.6597000849</v>
      </c>
      <c r="L7" s="65">
        <f t="shared" si="0"/>
        <v>3939473.8840671182</v>
      </c>
      <c r="M7" s="65">
        <f t="shared" si="0"/>
        <v>3858904.9180219877</v>
      </c>
      <c r="N7" s="65">
        <f t="shared" si="0"/>
        <v>3780056.4456707784</v>
      </c>
      <c r="O7" s="65">
        <f t="shared" si="0"/>
        <v>3702889.1510772323</v>
      </c>
      <c r="P7" s="65">
        <f t="shared" si="0"/>
        <v>3627364.6915002642</v>
      </c>
      <c r="Q7" s="65">
        <f t="shared" si="0"/>
        <v>3553445.6713926443</v>
      </c>
      <c r="R7" s="65">
        <f t="shared" si="0"/>
        <v>3481095.6171382219</v>
      </c>
      <c r="S7" s="65">
        <f t="shared" si="0"/>
        <v>3410278.95250584</v>
      </c>
      <c r="T7" s="65">
        <f t="shared" si="0"/>
        <v>3340960.97479867</v>
      </c>
      <c r="U7" s="65">
        <f t="shared" si="0"/>
        <v>3273107.8316783994</v>
      </c>
      <c r="V7" s="65">
        <f t="shared" si="0"/>
        <v>3206686.498644317</v>
      </c>
      <c r="W7" s="65">
        <f t="shared" si="0"/>
        <v>3141664.7571479487</v>
      </c>
      <c r="X7" s="65">
        <f t="shared" si="0"/>
        <v>3078011.173324462</v>
      </c>
      <c r="Y7" s="65">
        <f t="shared" si="0"/>
        <v>3015695.0773226717</v>
      </c>
      <c r="Z7" s="65">
        <f t="shared" si="0"/>
        <v>2954686.5432159975</v>
      </c>
      <c r="AA7" s="65">
        <f t="shared" si="0"/>
        <v>2894956.3694772627</v>
      </c>
      <c r="AB7" s="65">
        <f t="shared" si="0"/>
        <v>2836476.0600007605</v>
      </c>
    </row>
    <row r="8" spans="1:28" x14ac:dyDescent="0.35">
      <c r="A8" s="54" t="s">
        <v>147</v>
      </c>
      <c r="B8" s="52" t="s">
        <v>25</v>
      </c>
      <c r="C8" s="32">
        <f>C7</f>
        <v>-85000000</v>
      </c>
      <c r="D8" s="32">
        <f>Table10[[#This Row],[Year 0]]+D7</f>
        <v>-80348975.607710704</v>
      </c>
      <c r="E8" s="32">
        <f>Table10[[#This Row],[Year 1]]+E7</f>
        <v>-75793825.493531004</v>
      </c>
      <c r="F8" s="32">
        <f>Table10[[#This Row],[Year 2]]+F7</f>
        <v>-71332476.218802452</v>
      </c>
      <c r="G8" s="32">
        <f>Table10[[#This Row],[Year 3]]+G7</f>
        <v>-66962902.478832036</v>
      </c>
      <c r="H8" s="32">
        <f>Table10[[#This Row],[Year 4]]+H7</f>
        <v>-62683125.892232649</v>
      </c>
      <c r="I8" s="32">
        <f>Table10[[#This Row],[Year 5]]+I7</f>
        <v>-58491213.82304921</v>
      </c>
      <c r="J8" s="32">
        <f>Table10[[#This Row],[Year 6]]+J7</f>
        <v>-54385278.234729841</v>
      </c>
      <c r="K8" s="32">
        <f>Table10[[#This Row],[Year 7]]+K7</f>
        <v>-50363474.575029753</v>
      </c>
      <c r="L8" s="32">
        <f>Table10[[#This Row],[Year 8]]+L7</f>
        <v>-46424000.690962635</v>
      </c>
      <c r="M8" s="32">
        <f>Table10[[#This Row],[Year 9]]+M7</f>
        <v>-42565095.772940651</v>
      </c>
      <c r="N8" s="32">
        <f>Table10[[#This Row],[Year 10]]+N7</f>
        <v>-38785039.327269875</v>
      </c>
      <c r="O8" s="32">
        <f>Table10[[#This Row],[Year 11]]+O7</f>
        <v>-35082150.176192641</v>
      </c>
      <c r="P8" s="32">
        <f>Table10[[#This Row],[Year 12]]+P7</f>
        <v>-31454785.484692376</v>
      </c>
      <c r="Q8" s="32">
        <f>Table10[[#This Row],[Year 13]]+Q7</f>
        <v>-27901339.81329973</v>
      </c>
      <c r="R8" s="32">
        <f>Table10[[#This Row],[Year 14]]+R7</f>
        <v>-24420244.196161509</v>
      </c>
      <c r="S8" s="32">
        <f>Table10[[#This Row],[Year 15]]+S7</f>
        <v>-21009965.243655667</v>
      </c>
      <c r="T8" s="32">
        <f>Table10[[#This Row],[Year 16]]+T7</f>
        <v>-17669004.268856995</v>
      </c>
      <c r="U8" s="32">
        <f>Table10[[#This Row],[Year 17]]+U7</f>
        <v>-14395896.437178595</v>
      </c>
      <c r="V8" s="32">
        <f>Table10[[#This Row],[Year 18]]+V7</f>
        <v>-11189209.938534278</v>
      </c>
      <c r="W8" s="32">
        <f>Table10[[#This Row],[Year 19]]+W7</f>
        <v>-8047545.1813863292</v>
      </c>
      <c r="X8" s="32">
        <f>Table10[[#This Row],[Year 20]]+X7</f>
        <v>-4969534.0080618672</v>
      </c>
      <c r="Y8" s="32">
        <f>Table10[[#This Row],[Year 21]]+Y7</f>
        <v>-1953838.9307391956</v>
      </c>
      <c r="Z8" s="68">
        <f>Table10[[#This Row],[Year 22]]+Z7</f>
        <v>1000847.612476802</v>
      </c>
      <c r="AA8" s="32">
        <f>Table10[[#This Row],[Year 23]]+AA7</f>
        <v>3895803.9819540647</v>
      </c>
      <c r="AB8" s="68">
        <f>Table10[[#This Row],[Year 24]]+AB7</f>
        <v>6732280.0419548247</v>
      </c>
    </row>
    <row r="12" spans="1:28" x14ac:dyDescent="0.35">
      <c r="A12" s="60" t="s">
        <v>130</v>
      </c>
      <c r="B12" s="53"/>
    </row>
    <row r="13" spans="1:28" ht="43.5" x14ac:dyDescent="0.35">
      <c r="A13" s="35" t="s">
        <v>149</v>
      </c>
      <c r="B13" s="69"/>
    </row>
    <row r="14" spans="1:28" ht="58" x14ac:dyDescent="0.35">
      <c r="A14" s="35" t="s">
        <v>150</v>
      </c>
      <c r="B14" s="69"/>
      <c r="C14" s="26"/>
    </row>
    <row r="15" spans="1:28" ht="43.5" x14ac:dyDescent="0.35">
      <c r="A15" s="35" t="s">
        <v>151</v>
      </c>
      <c r="B15" s="69"/>
    </row>
    <row r="16" spans="1:28" ht="43.5" x14ac:dyDescent="0.35">
      <c r="A16" s="35" t="s">
        <v>152</v>
      </c>
      <c r="B16" s="69"/>
    </row>
    <row r="17" spans="1:2" ht="87" x14ac:dyDescent="0.35">
      <c r="A17" s="35" t="s">
        <v>153</v>
      </c>
      <c r="B17" s="69"/>
    </row>
    <row r="18" spans="1:2" ht="43.5" x14ac:dyDescent="0.35">
      <c r="A18" s="35" t="s">
        <v>154</v>
      </c>
      <c r="B18" s="69"/>
    </row>
    <row r="19" spans="1:2" ht="43.5" x14ac:dyDescent="0.35">
      <c r="A19" s="35" t="s">
        <v>155</v>
      </c>
      <c r="B19" s="69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12D01-30CF-4462-A8A3-ABF270E60811}">
  <dimension ref="A2:C24"/>
  <sheetViews>
    <sheetView tabSelected="1" workbookViewId="0">
      <selection activeCell="D13" sqref="D13"/>
    </sheetView>
  </sheetViews>
  <sheetFormatPr defaultRowHeight="14.5" x14ac:dyDescent="0.35"/>
  <cols>
    <col min="1" max="3" width="33.7265625" customWidth="1"/>
  </cols>
  <sheetData>
    <row r="2" spans="1:3" x14ac:dyDescent="0.35">
      <c r="A2" s="53" t="s">
        <v>4</v>
      </c>
      <c r="B2" s="53" t="s">
        <v>6</v>
      </c>
      <c r="C2" s="53" t="s">
        <v>156</v>
      </c>
    </row>
    <row r="3" spans="1:3" x14ac:dyDescent="0.35">
      <c r="A3" s="54" t="s">
        <v>157</v>
      </c>
      <c r="B3" s="52" t="s">
        <v>25</v>
      </c>
      <c r="C3" s="32">
        <f>'01_Assumptions'!B11*10^6</f>
        <v>85000000</v>
      </c>
    </row>
    <row r="4" spans="1:3" x14ac:dyDescent="0.35">
      <c r="A4" s="54" t="s">
        <v>158</v>
      </c>
      <c r="B4" s="52" t="s">
        <v>17</v>
      </c>
      <c r="C4" s="72">
        <f>'01_Assumptions'!B28</f>
        <v>3.2656249999999998E-2</v>
      </c>
    </row>
    <row r="5" spans="1:3" x14ac:dyDescent="0.35">
      <c r="A5" s="54" t="s">
        <v>159</v>
      </c>
      <c r="B5" s="52" t="s">
        <v>25</v>
      </c>
      <c r="C5" s="32">
        <f>'08_DCF_Analysis'!AB8</f>
        <v>6732280.0419548247</v>
      </c>
    </row>
    <row r="6" spans="1:3" s="66" customFormat="1" x14ac:dyDescent="0.35">
      <c r="A6" s="67" t="s">
        <v>160</v>
      </c>
      <c r="B6" s="52" t="s">
        <v>17</v>
      </c>
      <c r="C6" s="73">
        <f>IRR('08_DCF_Analysis'!C3:AB3)</f>
        <v>3.9367079593305432E-2</v>
      </c>
    </row>
    <row r="7" spans="1:3" s="66" customFormat="1" x14ac:dyDescent="0.35">
      <c r="A7" s="54" t="s">
        <v>165</v>
      </c>
      <c r="B7" s="52" t="s">
        <v>17</v>
      </c>
      <c r="C7" s="73">
        <f>SUM('07_Cash_Flow'!D9:AB9)/'09_Investment_Returns'!C3</f>
        <v>0.62646721429694663</v>
      </c>
    </row>
    <row r="8" spans="1:3" x14ac:dyDescent="0.35">
      <c r="A8" s="54" t="s">
        <v>161</v>
      </c>
      <c r="B8" s="52" t="s">
        <v>164</v>
      </c>
      <c r="C8" s="25">
        <v>17</v>
      </c>
    </row>
    <row r="9" spans="1:3" x14ac:dyDescent="0.35">
      <c r="A9" s="54" t="s">
        <v>162</v>
      </c>
      <c r="B9" s="52" t="s">
        <v>164</v>
      </c>
      <c r="C9" s="25">
        <v>23</v>
      </c>
    </row>
    <row r="10" spans="1:3" x14ac:dyDescent="0.35">
      <c r="A10" s="54" t="s">
        <v>163</v>
      </c>
      <c r="B10" s="52" t="s">
        <v>43</v>
      </c>
      <c r="C10" s="33">
        <f>SUM('08_DCF_Analysis'!D7:AB7)/'05_Depreciation'!C3</f>
        <v>1.0792032946112335</v>
      </c>
    </row>
    <row r="17" spans="1:1" x14ac:dyDescent="0.35">
      <c r="A17" s="60" t="s">
        <v>130</v>
      </c>
    </row>
    <row r="18" spans="1:1" ht="43.5" x14ac:dyDescent="0.35">
      <c r="A18" s="35" t="s">
        <v>166</v>
      </c>
    </row>
    <row r="19" spans="1:1" ht="29" x14ac:dyDescent="0.35">
      <c r="A19" s="35" t="s">
        <v>169</v>
      </c>
    </row>
    <row r="20" spans="1:1" ht="29" x14ac:dyDescent="0.35">
      <c r="A20" s="74" t="s">
        <v>170</v>
      </c>
    </row>
    <row r="21" spans="1:1" ht="43.5" x14ac:dyDescent="0.35">
      <c r="A21" s="74" t="s">
        <v>171</v>
      </c>
    </row>
    <row r="22" spans="1:1" ht="43.5" x14ac:dyDescent="0.35">
      <c r="A22" s="74" t="s">
        <v>172</v>
      </c>
    </row>
    <row r="23" spans="1:1" ht="58" x14ac:dyDescent="0.35">
      <c r="A23" s="74" t="s">
        <v>173</v>
      </c>
    </row>
    <row r="24" spans="1:1" ht="58" x14ac:dyDescent="0.35">
      <c r="A24" s="74" t="s">
        <v>174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D3164-9C90-4D95-BAC5-2B7FD27D7348}">
  <dimension ref="A2:AB32"/>
  <sheetViews>
    <sheetView workbookViewId="0">
      <selection activeCell="C10" sqref="C10"/>
    </sheetView>
  </sheetViews>
  <sheetFormatPr defaultRowHeight="14.5" x14ac:dyDescent="0.35"/>
  <cols>
    <col min="1" max="1" width="19.54296875" customWidth="1"/>
    <col min="2" max="2" width="9.453125" customWidth="1"/>
    <col min="3" max="3" width="13.26953125" customWidth="1"/>
    <col min="4" max="28" width="13.6328125" customWidth="1"/>
  </cols>
  <sheetData>
    <row r="2" spans="1:28" x14ac:dyDescent="0.35">
      <c r="A2" s="53" t="s">
        <v>4</v>
      </c>
      <c r="B2" s="53" t="s">
        <v>6</v>
      </c>
      <c r="C2" s="53" t="s">
        <v>86</v>
      </c>
      <c r="D2" s="56" t="s">
        <v>61</v>
      </c>
      <c r="E2" s="56" t="s">
        <v>62</v>
      </c>
      <c r="F2" s="56" t="s">
        <v>63</v>
      </c>
      <c r="G2" s="56" t="s">
        <v>64</v>
      </c>
      <c r="H2" s="56" t="s">
        <v>65</v>
      </c>
      <c r="I2" s="56" t="s">
        <v>66</v>
      </c>
      <c r="J2" s="56" t="s">
        <v>67</v>
      </c>
      <c r="K2" s="56" t="s">
        <v>68</v>
      </c>
      <c r="L2" s="56" t="s">
        <v>69</v>
      </c>
      <c r="M2" s="56" t="s">
        <v>70</v>
      </c>
      <c r="N2" s="56" t="s">
        <v>71</v>
      </c>
      <c r="O2" s="56" t="s">
        <v>72</v>
      </c>
      <c r="P2" s="56" t="s">
        <v>73</v>
      </c>
      <c r="Q2" s="56" t="s">
        <v>74</v>
      </c>
      <c r="R2" s="56" t="s">
        <v>75</v>
      </c>
      <c r="S2" s="56" t="s">
        <v>76</v>
      </c>
      <c r="T2" s="56" t="s">
        <v>77</v>
      </c>
      <c r="U2" s="56" t="s">
        <v>78</v>
      </c>
      <c r="V2" s="56" t="s">
        <v>79</v>
      </c>
      <c r="W2" s="56" t="s">
        <v>80</v>
      </c>
      <c r="X2" s="56" t="s">
        <v>81</v>
      </c>
      <c r="Y2" s="56" t="s">
        <v>82</v>
      </c>
      <c r="Z2" s="56" t="s">
        <v>83</v>
      </c>
      <c r="AA2" s="56" t="s">
        <v>84</v>
      </c>
      <c r="AB2" s="57" t="s">
        <v>85</v>
      </c>
    </row>
    <row r="3" spans="1:28" x14ac:dyDescent="0.35">
      <c r="A3" s="54" t="s">
        <v>96</v>
      </c>
      <c r="B3" s="52" t="s">
        <v>25</v>
      </c>
      <c r="C3" s="32">
        <f>'03_Revenues'!C5</f>
        <v>0</v>
      </c>
      <c r="D3" s="32">
        <f>'03_Revenues'!D5</f>
        <v>6392545.8767999988</v>
      </c>
      <c r="E3" s="32">
        <f>'03_Revenues'!E5</f>
        <v>6487794.810364319</v>
      </c>
      <c r="F3" s="32">
        <f>'03_Revenues'!F5</f>
        <v>6584462.9530387474</v>
      </c>
      <c r="G3" s="32">
        <f>'03_Revenues'!G5</f>
        <v>6682571.4510390246</v>
      </c>
      <c r="H3" s="32">
        <f>'03_Revenues'!H5</f>
        <v>6782141.7656595055</v>
      </c>
      <c r="I3" s="32">
        <f>'03_Revenues'!I5</f>
        <v>6883195.6779678324</v>
      </c>
      <c r="J3" s="32">
        <f>'03_Revenues'!J5</f>
        <v>6985755.2935695518</v>
      </c>
      <c r="K3" s="32">
        <f>'03_Revenues'!K5</f>
        <v>7089843.0474437382</v>
      </c>
      <c r="L3" s="32">
        <f>'03_Revenues'!L5</f>
        <v>7195481.7088506492</v>
      </c>
      <c r="M3" s="32">
        <f>'03_Revenues'!M5</f>
        <v>7302694.3863125239</v>
      </c>
      <c r="N3" s="32">
        <f>'03_Revenues'!N5</f>
        <v>7411504.5326685803</v>
      </c>
      <c r="O3" s="32">
        <f>'03_Revenues'!O5</f>
        <v>7521935.9502053428</v>
      </c>
      <c r="P3" s="32">
        <f>'03_Revenues'!P5</f>
        <v>7634012.7958634021</v>
      </c>
      <c r="Q3" s="32">
        <f>'03_Revenues'!Q5</f>
        <v>7747759.586521768</v>
      </c>
      <c r="R3" s="32">
        <f>'03_Revenues'!R5</f>
        <v>7863201.2043609433</v>
      </c>
      <c r="S3" s="32">
        <f>'03_Revenues'!S5</f>
        <v>7980362.9023059206</v>
      </c>
      <c r="T3" s="32">
        <f>'03_Revenues'!T5</f>
        <v>8099270.3095502788</v>
      </c>
      <c r="U3" s="32">
        <f>'03_Revenues'!U5</f>
        <v>8219949.43716258</v>
      </c>
      <c r="V3" s="32">
        <f>'03_Revenues'!V5</f>
        <v>8342426.6837763013</v>
      </c>
      <c r="W3" s="32">
        <f>'03_Revenues'!W5</f>
        <v>8466728.8413645681</v>
      </c>
      <c r="X3" s="32">
        <f>'03_Revenues'!X5</f>
        <v>8592883.1011009011</v>
      </c>
      <c r="Y3" s="32">
        <f>'03_Revenues'!Y5</f>
        <v>8720917.0593073033</v>
      </c>
      <c r="Z3" s="32">
        <f>'03_Revenues'!Z5</f>
        <v>8850858.7234909832</v>
      </c>
      <c r="AA3" s="32">
        <f>'03_Revenues'!AA5</f>
        <v>8982736.5184709989</v>
      </c>
      <c r="AB3" s="32">
        <f>'03_Revenues'!AB5</f>
        <v>9116579.2925962154</v>
      </c>
    </row>
    <row r="4" spans="1:28" x14ac:dyDescent="0.35">
      <c r="A4" s="54" t="s">
        <v>11</v>
      </c>
      <c r="B4" s="52" t="s">
        <v>25</v>
      </c>
      <c r="C4" s="32">
        <f>Table5[[#This Row],[Year 0]]</f>
        <v>0</v>
      </c>
      <c r="D4" s="32">
        <f>Table5[[#This Row],[Year 1]]</f>
        <v>1122000</v>
      </c>
      <c r="E4" s="32">
        <f>Table5[[#This Row],[Year 2]]</f>
        <v>1144440</v>
      </c>
      <c r="F4" s="32">
        <f>Table5[[#This Row],[Year 3]]</f>
        <v>1167328.8</v>
      </c>
      <c r="G4" s="32">
        <f>Table5[[#This Row],[Year 4]]</f>
        <v>1190675.3760000002</v>
      </c>
      <c r="H4" s="32">
        <f>Table5[[#This Row],[Year 5]]</f>
        <v>1214488.8835200001</v>
      </c>
      <c r="I4" s="32">
        <f>Table5[[#This Row],[Year 6]]</f>
        <v>1238778.6611904001</v>
      </c>
      <c r="J4" s="32">
        <f>Table5[[#This Row],[Year 7]]</f>
        <v>1263554.2344142082</v>
      </c>
      <c r="K4" s="32">
        <f>Table5[[#This Row],[Year 8]]</f>
        <v>1288825.3191024924</v>
      </c>
      <c r="L4" s="32">
        <f>Table5[[#This Row],[Year 9]]</f>
        <v>1314601.8254845422</v>
      </c>
      <c r="M4" s="32">
        <f>Table5[[#This Row],[Year 10]]</f>
        <v>1340893.861994233</v>
      </c>
      <c r="N4" s="32">
        <f>Table5[[#This Row],[Year 11]]</f>
        <v>1367711.7392341176</v>
      </c>
      <c r="O4" s="32">
        <f>Table5[[#This Row],[Year 12]]</f>
        <v>1395065.9740187998</v>
      </c>
      <c r="P4" s="32">
        <f>Table5[[#This Row],[Year 13]]</f>
        <v>1422967.2934991759</v>
      </c>
      <c r="Q4" s="32">
        <f>Table5[[#This Row],[Year 14]]</f>
        <v>1451426.6393691595</v>
      </c>
      <c r="R4" s="32">
        <f>Table5[[#This Row],[Year 15]]</f>
        <v>1480455.1721565428</v>
      </c>
      <c r="S4" s="32">
        <f>Table5[[#This Row],[Year 16]]</f>
        <v>1510064.2755996736</v>
      </c>
      <c r="T4" s="32">
        <f>Table5[[#This Row],[Year 17]]</f>
        <v>1540265.5611116672</v>
      </c>
      <c r="U4" s="32">
        <f>Table5[[#This Row],[Year 18]]</f>
        <v>1571070.8723339005</v>
      </c>
      <c r="V4" s="32">
        <f>Table5[[#This Row],[Year 19]]</f>
        <v>1602492.2897805786</v>
      </c>
      <c r="W4" s="32">
        <f>Table5[[#This Row],[Year 20]]</f>
        <v>1634542.1355761902</v>
      </c>
      <c r="X4" s="32">
        <f>Table5[[#This Row],[Year 21]]</f>
        <v>1667232.9782877141</v>
      </c>
      <c r="Y4" s="32">
        <f>Table5[[#This Row],[Year 22]]</f>
        <v>1700577.6378534683</v>
      </c>
      <c r="Z4" s="32">
        <f>Table5[[#This Row],[Year 23]]</f>
        <v>1734589.1906105378</v>
      </c>
      <c r="AA4" s="32">
        <f>Table5[[#This Row],[Year 24]]</f>
        <v>1769280.9744227487</v>
      </c>
      <c r="AB4" s="32">
        <f>Table5[[#This Row],[Year 25]]</f>
        <v>1804666.5939112036</v>
      </c>
    </row>
    <row r="5" spans="1:28" x14ac:dyDescent="0.35">
      <c r="A5" s="54" t="s">
        <v>104</v>
      </c>
      <c r="B5" s="52" t="s">
        <v>25</v>
      </c>
      <c r="C5" s="32">
        <f>C3-C4</f>
        <v>0</v>
      </c>
      <c r="D5" s="32">
        <f>D3-D4</f>
        <v>5270545.8767999988</v>
      </c>
      <c r="E5" s="32">
        <f>E3-E4</f>
        <v>5343354.810364319</v>
      </c>
      <c r="F5" s="32">
        <f t="shared" ref="F5:AB5" si="0">F3-F4</f>
        <v>5417134.1530387476</v>
      </c>
      <c r="G5" s="32">
        <f t="shared" si="0"/>
        <v>5491896.0750390245</v>
      </c>
      <c r="H5" s="32">
        <f t="shared" si="0"/>
        <v>5567652.8821395058</v>
      </c>
      <c r="I5" s="32">
        <f t="shared" si="0"/>
        <v>5644417.0167774325</v>
      </c>
      <c r="J5" s="32">
        <f t="shared" si="0"/>
        <v>5722201.0591553431</v>
      </c>
      <c r="K5" s="32">
        <f t="shared" si="0"/>
        <v>5801017.728341246</v>
      </c>
      <c r="L5" s="32">
        <f t="shared" si="0"/>
        <v>5880879.883366107</v>
      </c>
      <c r="M5" s="32">
        <f t="shared" si="0"/>
        <v>5961800.5243182909</v>
      </c>
      <c r="N5" s="32">
        <f t="shared" si="0"/>
        <v>6043792.7934344625</v>
      </c>
      <c r="O5" s="32">
        <f t="shared" si="0"/>
        <v>6126869.9761865428</v>
      </c>
      <c r="P5" s="32">
        <f t="shared" si="0"/>
        <v>6211045.5023642257</v>
      </c>
      <c r="Q5" s="32">
        <f t="shared" si="0"/>
        <v>6296332.947152609</v>
      </c>
      <c r="R5" s="32">
        <f t="shared" si="0"/>
        <v>6382746.0322044007</v>
      </c>
      <c r="S5" s="32">
        <f t="shared" si="0"/>
        <v>6470298.6267062472</v>
      </c>
      <c r="T5" s="32">
        <f t="shared" si="0"/>
        <v>6559004.7484386116</v>
      </c>
      <c r="U5" s="32">
        <f t="shared" si="0"/>
        <v>6648878.564828679</v>
      </c>
      <c r="V5" s="32">
        <f t="shared" si="0"/>
        <v>6739934.3939957228</v>
      </c>
      <c r="W5" s="32">
        <f t="shared" si="0"/>
        <v>6832186.7057883777</v>
      </c>
      <c r="X5" s="32">
        <f t="shared" si="0"/>
        <v>6925650.1228131875</v>
      </c>
      <c r="Y5" s="32">
        <f t="shared" si="0"/>
        <v>7020339.4214538354</v>
      </c>
      <c r="Z5" s="32">
        <f t="shared" si="0"/>
        <v>7116269.5328804459</v>
      </c>
      <c r="AA5" s="32">
        <f t="shared" si="0"/>
        <v>7213455.5440482497</v>
      </c>
      <c r="AB5" s="32">
        <f t="shared" si="0"/>
        <v>7311912.6986850118</v>
      </c>
    </row>
    <row r="6" spans="1:28" x14ac:dyDescent="0.35">
      <c r="A6" s="54" t="s">
        <v>121</v>
      </c>
      <c r="B6" s="52" t="s">
        <v>25</v>
      </c>
      <c r="C6" s="32">
        <f>'05_Depreciation'!C7</f>
        <v>0</v>
      </c>
      <c r="D6" s="32">
        <f>'05_Depreciation'!D7</f>
        <v>3400000</v>
      </c>
      <c r="E6" s="32">
        <f>'05_Depreciation'!E7</f>
        <v>3400000</v>
      </c>
      <c r="F6" s="32">
        <f>'05_Depreciation'!F7</f>
        <v>3400000</v>
      </c>
      <c r="G6" s="32">
        <f>'05_Depreciation'!G7</f>
        <v>3400000</v>
      </c>
      <c r="H6" s="32">
        <f>'05_Depreciation'!H7</f>
        <v>3400000</v>
      </c>
      <c r="I6" s="32">
        <f>'05_Depreciation'!I7</f>
        <v>3400000</v>
      </c>
      <c r="J6" s="32">
        <f>'05_Depreciation'!J7</f>
        <v>3400000</v>
      </c>
      <c r="K6" s="32">
        <f>'05_Depreciation'!K7</f>
        <v>3400000</v>
      </c>
      <c r="L6" s="32">
        <f>'05_Depreciation'!L7</f>
        <v>3400000</v>
      </c>
      <c r="M6" s="32">
        <f>'05_Depreciation'!M7</f>
        <v>3400000</v>
      </c>
      <c r="N6" s="32">
        <f>'05_Depreciation'!N7</f>
        <v>3400000</v>
      </c>
      <c r="O6" s="32">
        <f>'05_Depreciation'!O7</f>
        <v>3400000</v>
      </c>
      <c r="P6" s="32">
        <f>'05_Depreciation'!P7</f>
        <v>3400000</v>
      </c>
      <c r="Q6" s="32">
        <f>'05_Depreciation'!Q7</f>
        <v>3400000</v>
      </c>
      <c r="R6" s="32">
        <f>'05_Depreciation'!R7</f>
        <v>3400000</v>
      </c>
      <c r="S6" s="32">
        <f>'05_Depreciation'!S7</f>
        <v>3400000</v>
      </c>
      <c r="T6" s="32">
        <f>'05_Depreciation'!T7</f>
        <v>3400000</v>
      </c>
      <c r="U6" s="32">
        <f>'05_Depreciation'!U7</f>
        <v>3400000</v>
      </c>
      <c r="V6" s="32">
        <f>'05_Depreciation'!V7</f>
        <v>3400000</v>
      </c>
      <c r="W6" s="32">
        <f>'05_Depreciation'!W7</f>
        <v>3400000</v>
      </c>
      <c r="X6" s="32">
        <f>'05_Depreciation'!X7</f>
        <v>3400000</v>
      </c>
      <c r="Y6" s="32">
        <f>'05_Depreciation'!Y7</f>
        <v>3400000</v>
      </c>
      <c r="Z6" s="32">
        <f>'05_Depreciation'!Z7</f>
        <v>3400000</v>
      </c>
      <c r="AA6" s="32">
        <f>'05_Depreciation'!AA7</f>
        <v>3400000</v>
      </c>
      <c r="AB6" s="32">
        <f>'05_Depreciation'!AB7</f>
        <v>3400000</v>
      </c>
    </row>
    <row r="7" spans="1:28" x14ac:dyDescent="0.35">
      <c r="A7" s="54" t="s">
        <v>122</v>
      </c>
      <c r="B7" s="52" t="s">
        <v>25</v>
      </c>
      <c r="C7" s="32">
        <f>C5-C6</f>
        <v>0</v>
      </c>
      <c r="D7" s="32">
        <f t="shared" ref="D7:AB7" si="1">D5-D6</f>
        <v>1870545.8767999988</v>
      </c>
      <c r="E7" s="32">
        <f t="shared" si="1"/>
        <v>1943354.810364319</v>
      </c>
      <c r="F7" s="32">
        <f t="shared" si="1"/>
        <v>2017134.1530387476</v>
      </c>
      <c r="G7" s="32">
        <f t="shared" si="1"/>
        <v>2091896.0750390245</v>
      </c>
      <c r="H7" s="32">
        <f t="shared" si="1"/>
        <v>2167652.8821395058</v>
      </c>
      <c r="I7" s="32">
        <f t="shared" si="1"/>
        <v>2244417.0167774325</v>
      </c>
      <c r="J7" s="32">
        <f t="shared" si="1"/>
        <v>2322201.0591553431</v>
      </c>
      <c r="K7" s="32">
        <f t="shared" si="1"/>
        <v>2401017.728341246</v>
      </c>
      <c r="L7" s="32">
        <f t="shared" si="1"/>
        <v>2480879.883366107</v>
      </c>
      <c r="M7" s="32">
        <f t="shared" si="1"/>
        <v>2561800.5243182909</v>
      </c>
      <c r="N7" s="32">
        <f t="shared" si="1"/>
        <v>2643792.7934344625</v>
      </c>
      <c r="O7" s="32">
        <f t="shared" si="1"/>
        <v>2726869.9761865428</v>
      </c>
      <c r="P7" s="32">
        <f t="shared" si="1"/>
        <v>2811045.5023642257</v>
      </c>
      <c r="Q7" s="32">
        <f t="shared" si="1"/>
        <v>2896332.947152609</v>
      </c>
      <c r="R7" s="32">
        <f t="shared" si="1"/>
        <v>2982746.0322044007</v>
      </c>
      <c r="S7" s="32">
        <f t="shared" si="1"/>
        <v>3070298.6267062472</v>
      </c>
      <c r="T7" s="32">
        <f t="shared" si="1"/>
        <v>3159004.7484386116</v>
      </c>
      <c r="U7" s="32">
        <f t="shared" si="1"/>
        <v>3248878.564828679</v>
      </c>
      <c r="V7" s="32">
        <f t="shared" si="1"/>
        <v>3339934.3939957228</v>
      </c>
      <c r="W7" s="32">
        <f t="shared" si="1"/>
        <v>3432186.7057883777</v>
      </c>
      <c r="X7" s="32">
        <f t="shared" si="1"/>
        <v>3525650.1228131875</v>
      </c>
      <c r="Y7" s="32">
        <f t="shared" si="1"/>
        <v>3620339.4214538354</v>
      </c>
      <c r="Z7" s="32">
        <f t="shared" si="1"/>
        <v>3716269.5328804459</v>
      </c>
      <c r="AA7" s="32">
        <f t="shared" si="1"/>
        <v>3813455.5440482497</v>
      </c>
      <c r="AB7" s="32">
        <f t="shared" si="1"/>
        <v>3911912.6986850118</v>
      </c>
    </row>
    <row r="8" spans="1:28" x14ac:dyDescent="0.35">
      <c r="A8" s="54" t="s">
        <v>123</v>
      </c>
      <c r="B8" s="52" t="s">
        <v>25</v>
      </c>
      <c r="C8" s="48" t="str">
        <f>Table578[[#This Row],[Year 0]]</f>
        <v>N/A</v>
      </c>
      <c r="D8" s="48">
        <f>Table578[[#This Row],[Year 1]]</f>
        <v>1434375</v>
      </c>
      <c r="E8" s="48">
        <f>Table578[[#This Row],[Year 2]]</f>
        <v>1338750</v>
      </c>
      <c r="F8" s="48">
        <f>Table578[[#This Row],[Year 3]]</f>
        <v>1243125</v>
      </c>
      <c r="G8" s="48">
        <f>Table578[[#This Row],[Year 4]]</f>
        <v>1147500</v>
      </c>
      <c r="H8" s="48">
        <f>Table578[[#This Row],[Year 5]]</f>
        <v>1051875</v>
      </c>
      <c r="I8" s="48">
        <f>Table578[[#This Row],[Year 6]]</f>
        <v>956250</v>
      </c>
      <c r="J8" s="48">
        <f>Table578[[#This Row],[Year 7]]</f>
        <v>860625</v>
      </c>
      <c r="K8" s="48">
        <f>Table578[[#This Row],[Year 8]]</f>
        <v>765000</v>
      </c>
      <c r="L8" s="48">
        <f>Table578[[#This Row],[Year 9]]</f>
        <v>669375</v>
      </c>
      <c r="M8" s="48">
        <f>Table578[[#This Row],[Year 10]]</f>
        <v>573750</v>
      </c>
      <c r="N8" s="48">
        <f>Table578[[#This Row],[Year 11]]</f>
        <v>478125</v>
      </c>
      <c r="O8" s="48">
        <f>Table578[[#This Row],[Year 12]]</f>
        <v>382500</v>
      </c>
      <c r="P8" s="48">
        <f>Table578[[#This Row],[Year 13]]</f>
        <v>286875</v>
      </c>
      <c r="Q8" s="48">
        <f>Table578[[#This Row],[Year 14]]</f>
        <v>191250</v>
      </c>
      <c r="R8" s="48">
        <f>Table578[[#This Row],[Year 15]]</f>
        <v>95625</v>
      </c>
      <c r="S8" s="48">
        <f>Table578[[#This Row],[Year 16]]</f>
        <v>0</v>
      </c>
      <c r="T8" s="48">
        <f>Table578[[#This Row],[Year 17]]</f>
        <v>0</v>
      </c>
      <c r="U8" s="48">
        <f>Table578[[#This Row],[Year 18]]</f>
        <v>0</v>
      </c>
      <c r="V8" s="48">
        <f>Table578[[#This Row],[Year 19]]</f>
        <v>0</v>
      </c>
      <c r="W8" s="48">
        <f>Table578[[#This Row],[Year 20]]</f>
        <v>0</v>
      </c>
      <c r="X8" s="48">
        <f>Table578[[#This Row],[Year 21]]</f>
        <v>0</v>
      </c>
      <c r="Y8" s="48">
        <f>Table578[[#This Row],[Year 22]]</f>
        <v>0</v>
      </c>
      <c r="Z8" s="48">
        <f>Table578[[#This Row],[Year 23]]</f>
        <v>0</v>
      </c>
      <c r="AA8" s="48">
        <f>Table578[[#This Row],[Year 24]]</f>
        <v>0</v>
      </c>
      <c r="AB8" s="48">
        <f>Table578[[#This Row],[Year 25]]</f>
        <v>0</v>
      </c>
    </row>
    <row r="9" spans="1:28" x14ac:dyDescent="0.35">
      <c r="A9" s="54" t="s">
        <v>124</v>
      </c>
      <c r="B9" s="52" t="s">
        <v>25</v>
      </c>
      <c r="C9" s="32">
        <v>0</v>
      </c>
      <c r="D9" s="32">
        <f>D7-D8</f>
        <v>436170.8767999988</v>
      </c>
      <c r="E9" s="32">
        <f t="shared" ref="E9:AB9" si="2">E7-E8</f>
        <v>604604.81036431901</v>
      </c>
      <c r="F9" s="32">
        <f t="shared" si="2"/>
        <v>774009.15303874761</v>
      </c>
      <c r="G9" s="32">
        <f t="shared" si="2"/>
        <v>944396.07503902446</v>
      </c>
      <c r="H9" s="32">
        <f t="shared" si="2"/>
        <v>1115777.8821395058</v>
      </c>
      <c r="I9" s="32">
        <f t="shared" si="2"/>
        <v>1288167.0167774325</v>
      </c>
      <c r="J9" s="32">
        <f t="shared" si="2"/>
        <v>1461576.0591553431</v>
      </c>
      <c r="K9" s="32">
        <f t="shared" si="2"/>
        <v>1636017.728341246</v>
      </c>
      <c r="L9" s="32">
        <f t="shared" si="2"/>
        <v>1811504.883366107</v>
      </c>
      <c r="M9" s="32">
        <f t="shared" si="2"/>
        <v>1988050.5243182909</v>
      </c>
      <c r="N9" s="32">
        <f t="shared" si="2"/>
        <v>2165667.7934344625</v>
      </c>
      <c r="O9" s="32">
        <f t="shared" si="2"/>
        <v>2344369.9761865428</v>
      </c>
      <c r="P9" s="32">
        <f t="shared" si="2"/>
        <v>2524170.5023642257</v>
      </c>
      <c r="Q9" s="32">
        <f t="shared" si="2"/>
        <v>2705082.947152609</v>
      </c>
      <c r="R9" s="32">
        <f t="shared" si="2"/>
        <v>2887121.0322044007</v>
      </c>
      <c r="S9" s="32">
        <f>S7-S8</f>
        <v>3070298.6267062472</v>
      </c>
      <c r="T9" s="32">
        <f t="shared" si="2"/>
        <v>3159004.7484386116</v>
      </c>
      <c r="U9" s="32">
        <f t="shared" si="2"/>
        <v>3248878.564828679</v>
      </c>
      <c r="V9" s="32">
        <f t="shared" si="2"/>
        <v>3339934.3939957228</v>
      </c>
      <c r="W9" s="32">
        <f t="shared" si="2"/>
        <v>3432186.7057883777</v>
      </c>
      <c r="X9" s="32">
        <f t="shared" si="2"/>
        <v>3525650.1228131875</v>
      </c>
      <c r="Y9" s="32">
        <f t="shared" si="2"/>
        <v>3620339.4214538354</v>
      </c>
      <c r="Z9" s="32">
        <f t="shared" si="2"/>
        <v>3716269.5328804459</v>
      </c>
      <c r="AA9" s="32">
        <f t="shared" si="2"/>
        <v>3813455.5440482497</v>
      </c>
      <c r="AB9" s="32">
        <f t="shared" si="2"/>
        <v>3911912.6986850118</v>
      </c>
    </row>
    <row r="10" spans="1:28" x14ac:dyDescent="0.35">
      <c r="A10" s="54" t="s">
        <v>125</v>
      </c>
      <c r="B10" s="52" t="s">
        <v>25</v>
      </c>
      <c r="C10" s="32">
        <f>C9*'01_Assumptions'!$B$21</f>
        <v>0</v>
      </c>
      <c r="D10" s="32">
        <f>D9*'01_Assumptions'!$B$21</f>
        <v>109042.7191999997</v>
      </c>
      <c r="E10" s="32">
        <f>E9*'01_Assumptions'!$B$21</f>
        <v>151151.20259107975</v>
      </c>
      <c r="F10" s="32">
        <f>F9*'01_Assumptions'!$B$21</f>
        <v>193502.2882596869</v>
      </c>
      <c r="G10" s="32">
        <f>G9*'01_Assumptions'!$B$21</f>
        <v>236099.01875975612</v>
      </c>
      <c r="H10" s="32">
        <f>H9*'01_Assumptions'!$B$21</f>
        <v>278944.47053487645</v>
      </c>
      <c r="I10" s="32">
        <f>I9*'01_Assumptions'!$B$21</f>
        <v>322041.75419435813</v>
      </c>
      <c r="J10" s="32">
        <f>J9*'01_Assumptions'!$B$21</f>
        <v>365394.01478883578</v>
      </c>
      <c r="K10" s="32">
        <f>K9*'01_Assumptions'!$B$21</f>
        <v>409004.43208531151</v>
      </c>
      <c r="L10" s="32">
        <f>L9*'01_Assumptions'!$B$21</f>
        <v>452876.22084152675</v>
      </c>
      <c r="M10" s="32">
        <f>M9*'01_Assumptions'!$B$21</f>
        <v>497012.63107957272</v>
      </c>
      <c r="N10" s="32">
        <f>N9*'01_Assumptions'!$B$21</f>
        <v>541416.94835861563</v>
      </c>
      <c r="O10" s="32">
        <f>O9*'01_Assumptions'!$B$21</f>
        <v>586092.49404663569</v>
      </c>
      <c r="P10" s="32">
        <f>P9*'01_Assumptions'!$B$21</f>
        <v>631042.62559105642</v>
      </c>
      <c r="Q10" s="32">
        <f>Q9*'01_Assumptions'!$B$21</f>
        <v>676270.73678815225</v>
      </c>
      <c r="R10" s="32">
        <f>R9*'01_Assumptions'!$B$21</f>
        <v>721780.25805110019</v>
      </c>
      <c r="S10" s="32">
        <f>S9*'01_Assumptions'!$B$21</f>
        <v>767574.6566765618</v>
      </c>
      <c r="T10" s="32">
        <f>T9*'01_Assumptions'!$B$21</f>
        <v>789751.18710965291</v>
      </c>
      <c r="U10" s="32">
        <f>U9*'01_Assumptions'!$B$21</f>
        <v>812219.64120716974</v>
      </c>
      <c r="V10" s="32">
        <f>V9*'01_Assumptions'!$B$21</f>
        <v>834983.59849893069</v>
      </c>
      <c r="W10" s="32">
        <f>W9*'01_Assumptions'!$B$21</f>
        <v>858046.67644709442</v>
      </c>
      <c r="X10" s="32">
        <f>X9*'01_Assumptions'!$B$21</f>
        <v>881412.53070329688</v>
      </c>
      <c r="Y10" s="32">
        <f>Y9*'01_Assumptions'!$B$21</f>
        <v>905084.85536345886</v>
      </c>
      <c r="Z10" s="32">
        <f>Z9*'01_Assumptions'!$B$21</f>
        <v>929067.38322011149</v>
      </c>
      <c r="AA10" s="32">
        <f>AA9*'01_Assumptions'!$B$21</f>
        <v>953363.88601206243</v>
      </c>
      <c r="AB10" s="32">
        <f>AB9*'01_Assumptions'!$B$21</f>
        <v>977978.17467125296</v>
      </c>
    </row>
    <row r="11" spans="1:28" x14ac:dyDescent="0.35">
      <c r="A11" s="54" t="s">
        <v>126</v>
      </c>
      <c r="B11" s="52" t="s">
        <v>25</v>
      </c>
      <c r="C11" s="32">
        <f>C9-C10</f>
        <v>0</v>
      </c>
      <c r="D11" s="32">
        <f t="shared" ref="D11:AB11" si="3">D9-D10</f>
        <v>327128.1575999991</v>
      </c>
      <c r="E11" s="32">
        <f t="shared" si="3"/>
        <v>453453.60777323926</v>
      </c>
      <c r="F11" s="32">
        <f t="shared" si="3"/>
        <v>580506.86477906071</v>
      </c>
      <c r="G11" s="32">
        <f t="shared" si="3"/>
        <v>708297.05627926835</v>
      </c>
      <c r="H11" s="32">
        <f t="shared" si="3"/>
        <v>836833.41160462936</v>
      </c>
      <c r="I11" s="32">
        <f t="shared" si="3"/>
        <v>966125.26258307439</v>
      </c>
      <c r="J11" s="32">
        <f t="shared" si="3"/>
        <v>1096182.0443665073</v>
      </c>
      <c r="K11" s="32">
        <f t="shared" si="3"/>
        <v>1227013.2962559345</v>
      </c>
      <c r="L11" s="32">
        <f t="shared" si="3"/>
        <v>1358628.6625245803</v>
      </c>
      <c r="M11" s="32">
        <f t="shared" si="3"/>
        <v>1491037.8932387182</v>
      </c>
      <c r="N11" s="32">
        <f t="shared" si="3"/>
        <v>1624250.8450758469</v>
      </c>
      <c r="O11" s="32">
        <f t="shared" si="3"/>
        <v>1758277.4821399071</v>
      </c>
      <c r="P11" s="32">
        <f t="shared" si="3"/>
        <v>1893127.8767731693</v>
      </c>
      <c r="Q11" s="32">
        <f t="shared" si="3"/>
        <v>2028812.2103644568</v>
      </c>
      <c r="R11" s="32">
        <f t="shared" si="3"/>
        <v>2165340.7741533006</v>
      </c>
      <c r="S11" s="32">
        <f t="shared" si="3"/>
        <v>2302723.9700296856</v>
      </c>
      <c r="T11" s="32">
        <f t="shared" si="3"/>
        <v>2369253.5613289587</v>
      </c>
      <c r="U11" s="32">
        <f t="shared" si="3"/>
        <v>2436658.9236215092</v>
      </c>
      <c r="V11" s="32">
        <f t="shared" si="3"/>
        <v>2504950.7954967921</v>
      </c>
      <c r="W11" s="32">
        <f t="shared" si="3"/>
        <v>2574140.0293412833</v>
      </c>
      <c r="X11" s="32">
        <f t="shared" si="3"/>
        <v>2644237.5921098907</v>
      </c>
      <c r="Y11" s="32">
        <f t="shared" si="3"/>
        <v>2715254.5660903766</v>
      </c>
      <c r="Z11" s="32">
        <f t="shared" si="3"/>
        <v>2787202.1496603345</v>
      </c>
      <c r="AA11" s="32">
        <f t="shared" si="3"/>
        <v>2860091.6580361873</v>
      </c>
      <c r="AB11" s="32">
        <f t="shared" si="3"/>
        <v>2933934.5240137586</v>
      </c>
    </row>
    <row r="12" spans="1:28" x14ac:dyDescent="0.35">
      <c r="A12" s="54" t="s">
        <v>121</v>
      </c>
      <c r="B12" s="52" t="s">
        <v>25</v>
      </c>
      <c r="C12" s="32">
        <f>C6</f>
        <v>0</v>
      </c>
      <c r="D12" s="32">
        <f t="shared" ref="D12:AB12" si="4">D6</f>
        <v>3400000</v>
      </c>
      <c r="E12" s="32">
        <f t="shared" si="4"/>
        <v>3400000</v>
      </c>
      <c r="F12" s="32">
        <f t="shared" si="4"/>
        <v>3400000</v>
      </c>
      <c r="G12" s="32">
        <f t="shared" si="4"/>
        <v>3400000</v>
      </c>
      <c r="H12" s="32">
        <f t="shared" si="4"/>
        <v>3400000</v>
      </c>
      <c r="I12" s="32">
        <f t="shared" si="4"/>
        <v>3400000</v>
      </c>
      <c r="J12" s="32">
        <f t="shared" si="4"/>
        <v>3400000</v>
      </c>
      <c r="K12" s="32">
        <f t="shared" si="4"/>
        <v>3400000</v>
      </c>
      <c r="L12" s="32">
        <f t="shared" si="4"/>
        <v>3400000</v>
      </c>
      <c r="M12" s="32">
        <f t="shared" si="4"/>
        <v>3400000</v>
      </c>
      <c r="N12" s="32">
        <f t="shared" si="4"/>
        <v>3400000</v>
      </c>
      <c r="O12" s="32">
        <f t="shared" si="4"/>
        <v>3400000</v>
      </c>
      <c r="P12" s="32">
        <f t="shared" si="4"/>
        <v>3400000</v>
      </c>
      <c r="Q12" s="32">
        <f t="shared" si="4"/>
        <v>3400000</v>
      </c>
      <c r="R12" s="32">
        <f t="shared" si="4"/>
        <v>3400000</v>
      </c>
      <c r="S12" s="32">
        <f t="shared" si="4"/>
        <v>3400000</v>
      </c>
      <c r="T12" s="32">
        <f t="shared" si="4"/>
        <v>3400000</v>
      </c>
      <c r="U12" s="32">
        <f t="shared" si="4"/>
        <v>3400000</v>
      </c>
      <c r="V12" s="32">
        <f t="shared" si="4"/>
        <v>3400000</v>
      </c>
      <c r="W12" s="32">
        <f t="shared" si="4"/>
        <v>3400000</v>
      </c>
      <c r="X12" s="32">
        <f t="shared" si="4"/>
        <v>3400000</v>
      </c>
      <c r="Y12" s="32">
        <f t="shared" si="4"/>
        <v>3400000</v>
      </c>
      <c r="Z12" s="32">
        <f t="shared" si="4"/>
        <v>3400000</v>
      </c>
      <c r="AA12" s="32">
        <f t="shared" si="4"/>
        <v>3400000</v>
      </c>
      <c r="AB12" s="32">
        <f t="shared" si="4"/>
        <v>3400000</v>
      </c>
    </row>
    <row r="13" spans="1:28" x14ac:dyDescent="0.35">
      <c r="A13" s="54" t="s">
        <v>10</v>
      </c>
      <c r="B13" s="52" t="s">
        <v>25</v>
      </c>
      <c r="C13" s="32">
        <v>85000000</v>
      </c>
      <c r="D13" s="32">
        <v>0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2">
        <v>0</v>
      </c>
      <c r="X13" s="32">
        <v>0</v>
      </c>
      <c r="Y13" s="32">
        <v>0</v>
      </c>
      <c r="Z13" s="32">
        <v>0</v>
      </c>
      <c r="AA13" s="32">
        <v>0</v>
      </c>
      <c r="AB13" s="32">
        <v>0</v>
      </c>
    </row>
    <row r="14" spans="1:28" x14ac:dyDescent="0.35">
      <c r="A14" s="54" t="s">
        <v>128</v>
      </c>
      <c r="B14" s="52" t="s">
        <v>25</v>
      </c>
      <c r="C14" s="32">
        <f>'06_Financing'!C9</f>
        <v>0</v>
      </c>
      <c r="D14" s="32">
        <f>'06_Financing'!D9</f>
        <v>4250000</v>
      </c>
      <c r="E14" s="32">
        <f>'06_Financing'!E9</f>
        <v>4250000</v>
      </c>
      <c r="F14" s="32">
        <f>'06_Financing'!F9</f>
        <v>4250000</v>
      </c>
      <c r="G14" s="32">
        <f>'06_Financing'!G9</f>
        <v>4250000</v>
      </c>
      <c r="H14" s="32">
        <f>'06_Financing'!H9</f>
        <v>4250000</v>
      </c>
      <c r="I14" s="32">
        <f>'06_Financing'!I9</f>
        <v>4250000</v>
      </c>
      <c r="J14" s="32">
        <f>'06_Financing'!J9</f>
        <v>4250000</v>
      </c>
      <c r="K14" s="32">
        <f>'06_Financing'!K9</f>
        <v>4250000</v>
      </c>
      <c r="L14" s="32">
        <f>'06_Financing'!L9</f>
        <v>4250000</v>
      </c>
      <c r="M14" s="32">
        <f>'06_Financing'!M9</f>
        <v>4250000</v>
      </c>
      <c r="N14" s="32">
        <f>'06_Financing'!N9</f>
        <v>4250000</v>
      </c>
      <c r="O14" s="32">
        <f>'06_Financing'!O9</f>
        <v>4250000</v>
      </c>
      <c r="P14" s="32">
        <f>'06_Financing'!P9</f>
        <v>4250000</v>
      </c>
      <c r="Q14" s="32">
        <f>'06_Financing'!Q9</f>
        <v>4250000</v>
      </c>
      <c r="R14" s="32">
        <f>'06_Financing'!R9</f>
        <v>4250000</v>
      </c>
      <c r="S14" s="32">
        <f>'06_Financing'!S9</f>
        <v>0</v>
      </c>
      <c r="T14" s="32">
        <f>'06_Financing'!T9</f>
        <v>0</v>
      </c>
      <c r="U14" s="32">
        <f>'06_Financing'!U9</f>
        <v>0</v>
      </c>
      <c r="V14" s="32">
        <f>'06_Financing'!V9</f>
        <v>0</v>
      </c>
      <c r="W14" s="32">
        <f>'06_Financing'!W9</f>
        <v>0</v>
      </c>
      <c r="X14" s="32">
        <f>'06_Financing'!X9</f>
        <v>0</v>
      </c>
      <c r="Y14" s="32">
        <f>'06_Financing'!Y9</f>
        <v>0</v>
      </c>
      <c r="Z14" s="32">
        <f>'06_Financing'!Z9</f>
        <v>0</v>
      </c>
      <c r="AA14" s="32">
        <f>'06_Financing'!AA9</f>
        <v>0</v>
      </c>
      <c r="AB14" s="32">
        <f>'06_Financing'!AB9</f>
        <v>0</v>
      </c>
    </row>
    <row r="15" spans="1:28" x14ac:dyDescent="0.35">
      <c r="A15" s="55" t="s">
        <v>127</v>
      </c>
      <c r="B15" s="52" t="s">
        <v>25</v>
      </c>
      <c r="C15" s="32">
        <f>C11+C12-C13-C14</f>
        <v>-85000000</v>
      </c>
      <c r="D15" s="32">
        <f>D11+D12-D13-D14</f>
        <v>-522871.8424000009</v>
      </c>
      <c r="E15" s="32">
        <f t="shared" ref="E15:AB15" si="5">E11+E12-E13-E14</f>
        <v>-396546.39222676074</v>
      </c>
      <c r="F15" s="32">
        <f t="shared" si="5"/>
        <v>-269493.13522093929</v>
      </c>
      <c r="G15" s="32">
        <f t="shared" si="5"/>
        <v>-141702.94372073188</v>
      </c>
      <c r="H15" s="32">
        <f t="shared" si="5"/>
        <v>-13166.58839537017</v>
      </c>
      <c r="I15" s="32">
        <f t="shared" si="5"/>
        <v>116125.26258307416</v>
      </c>
      <c r="J15" s="32">
        <f t="shared" si="5"/>
        <v>246182.04436650686</v>
      </c>
      <c r="K15" s="32">
        <f t="shared" si="5"/>
        <v>377013.29625593498</v>
      </c>
      <c r="L15" s="32">
        <f t="shared" si="5"/>
        <v>508628.66252458002</v>
      </c>
      <c r="M15" s="32">
        <f t="shared" si="5"/>
        <v>641037.89323871769</v>
      </c>
      <c r="N15" s="32">
        <f t="shared" si="5"/>
        <v>774250.84507584665</v>
      </c>
      <c r="O15" s="32">
        <f t="shared" si="5"/>
        <v>908277.48213990685</v>
      </c>
      <c r="P15" s="32">
        <f t="shared" si="5"/>
        <v>1043127.8767731693</v>
      </c>
      <c r="Q15" s="32">
        <f t="shared" si="5"/>
        <v>1178812.2103644572</v>
      </c>
      <c r="R15" s="32">
        <f t="shared" si="5"/>
        <v>1315340.7741533006</v>
      </c>
      <c r="S15" s="32">
        <f t="shared" si="5"/>
        <v>5702723.9700296856</v>
      </c>
      <c r="T15" s="32">
        <f t="shared" si="5"/>
        <v>5769253.5613289587</v>
      </c>
      <c r="U15" s="32">
        <f t="shared" si="5"/>
        <v>5836658.9236215092</v>
      </c>
      <c r="V15" s="32">
        <f t="shared" si="5"/>
        <v>5904950.7954967916</v>
      </c>
      <c r="W15" s="32">
        <f t="shared" si="5"/>
        <v>5974140.0293412833</v>
      </c>
      <c r="X15" s="32">
        <f t="shared" si="5"/>
        <v>6044237.5921098907</v>
      </c>
      <c r="Y15" s="32">
        <f t="shared" si="5"/>
        <v>6115254.566090377</v>
      </c>
      <c r="Z15" s="32">
        <f t="shared" si="5"/>
        <v>6187202.149660334</v>
      </c>
      <c r="AA15" s="32">
        <f t="shared" si="5"/>
        <v>6260091.6580361873</v>
      </c>
      <c r="AB15" s="32">
        <f t="shared" si="5"/>
        <v>6333934.5240137586</v>
      </c>
    </row>
    <row r="20" spans="1:1" x14ac:dyDescent="0.35">
      <c r="A20" s="60" t="s">
        <v>130</v>
      </c>
    </row>
    <row r="21" spans="1:1" ht="87" x14ac:dyDescent="0.35">
      <c r="A21" s="35" t="s">
        <v>131</v>
      </c>
    </row>
    <row r="22" spans="1:1" ht="58" x14ac:dyDescent="0.35">
      <c r="A22" s="35" t="s">
        <v>132</v>
      </c>
    </row>
    <row r="23" spans="1:1" ht="72.5" x14ac:dyDescent="0.35">
      <c r="A23" s="35" t="s">
        <v>133</v>
      </c>
    </row>
    <row r="24" spans="1:1" ht="72.5" x14ac:dyDescent="0.35">
      <c r="A24" s="35" t="s">
        <v>134</v>
      </c>
    </row>
    <row r="25" spans="1:1" ht="87" x14ac:dyDescent="0.35">
      <c r="A25" s="35" t="s">
        <v>135</v>
      </c>
    </row>
    <row r="26" spans="1:1" ht="87" x14ac:dyDescent="0.35">
      <c r="A26" s="35" t="s">
        <v>136</v>
      </c>
    </row>
    <row r="27" spans="1:1" ht="87" x14ac:dyDescent="0.35">
      <c r="A27" s="35" t="s">
        <v>137</v>
      </c>
    </row>
    <row r="28" spans="1:1" ht="72.5" x14ac:dyDescent="0.35">
      <c r="A28" s="35" t="s">
        <v>138</v>
      </c>
    </row>
    <row r="29" spans="1:1" x14ac:dyDescent="0.35">
      <c r="A29" s="58"/>
    </row>
    <row r="30" spans="1:1" x14ac:dyDescent="0.35">
      <c r="A30" s="59"/>
    </row>
    <row r="32" spans="1:1" ht="58" x14ac:dyDescent="0.35">
      <c r="A32" s="34" t="s">
        <v>129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01_Assumptions</vt:lpstr>
      <vt:lpstr>02_Operations</vt:lpstr>
      <vt:lpstr>03_Revenues</vt:lpstr>
      <vt:lpstr>04_Costs</vt:lpstr>
      <vt:lpstr>05_Depreciation</vt:lpstr>
      <vt:lpstr>06_Financing</vt:lpstr>
      <vt:lpstr>07_Cash_Flow</vt:lpstr>
      <vt:lpstr>08_DCF_Analysis</vt:lpstr>
      <vt:lpstr>09_Investment_Returns</vt:lpstr>
      <vt:lpstr>07_Equity_Cash_Flow</vt:lpstr>
    </vt:vector>
  </TitlesOfParts>
  <Company>ATR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ARIF, HAJAR (SCALIAN)</dc:creator>
  <cp:lastModifiedBy>ARIF, HAJAR (SCALIAN)</cp:lastModifiedBy>
  <dcterms:created xsi:type="dcterms:W3CDTF">2026-08-11T14:12:47Z</dcterms:created>
  <dcterms:modified xsi:type="dcterms:W3CDTF">2026-08-18T20:02:28Z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a0db4f-8132-447e-a8c4-20d2ba9b8ca1_Enabled">
    <vt:lpwstr>true</vt:lpwstr>
  </property>
  <property fmtid="{D5CDD505-2E9C-101B-9397-08002B2CF9AE}" pid="3" name="MSIP_Label_e8a0db4f-8132-447e-a8c4-20d2ba9b8ca1_SetDate">
    <vt:lpwstr>2026-08-11T14:14:47Z</vt:lpwstr>
  </property>
  <property fmtid="{D5CDD505-2E9C-101B-9397-08002B2CF9AE}" pid="4" name="MSIP_Label_e8a0db4f-8132-447e-a8c4-20d2ba9b8ca1_Method">
    <vt:lpwstr>Standard</vt:lpwstr>
  </property>
  <property fmtid="{D5CDD505-2E9C-101B-9397-08002B2CF9AE}" pid="5" name="MSIP_Label_e8a0db4f-8132-447e-a8c4-20d2ba9b8ca1_Name">
    <vt:lpwstr>GENERAL</vt:lpwstr>
  </property>
  <property fmtid="{D5CDD505-2E9C-101B-9397-08002B2CF9AE}" pid="6" name="MSIP_Label_e8a0db4f-8132-447e-a8c4-20d2ba9b8ca1_SiteId">
    <vt:lpwstr>3e6c416a-bb51-43e5-bb57-7e72d96922e9</vt:lpwstr>
  </property>
  <property fmtid="{D5CDD505-2E9C-101B-9397-08002B2CF9AE}" pid="7" name="MSIP_Label_e8a0db4f-8132-447e-a8c4-20d2ba9b8ca1_ActionId">
    <vt:lpwstr>d9f00ef9-787b-4913-bd4d-05bdf3fef019</vt:lpwstr>
  </property>
  <property fmtid="{D5CDD505-2E9C-101B-9397-08002B2CF9AE}" pid="8" name="MSIP_Label_e8a0db4f-8132-447e-a8c4-20d2ba9b8ca1_ContentBits">
    <vt:lpwstr>0</vt:lpwstr>
  </property>
  <property fmtid="{D5CDD505-2E9C-101B-9397-08002B2CF9AE}" pid="9" name="MSIP_Label_e8a0db4f-8132-447e-a8c4-20d2ba9b8ca1_Tag">
    <vt:lpwstr>10, 3, 0, 1</vt:lpwstr>
  </property>
</Properties>
</file>